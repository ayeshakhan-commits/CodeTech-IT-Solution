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y Pc\Downloads\"/>
    </mc:Choice>
  </mc:AlternateContent>
  <xr:revisionPtr revIDLastSave="0" documentId="13_ncr:9_{8522DFB4-872B-4C71-A6E6-30970392E0D2}" xr6:coauthVersionLast="47" xr6:coauthVersionMax="47" xr10:uidLastSave="{00000000-0000-0000-0000-000000000000}"/>
  <bookViews>
    <workbookView xWindow="-108" yWindow="-108" windowWidth="23256" windowHeight="12456" xr2:uid="{26FD8977-2C3D-4D4F-979F-2A932F5799B8}"/>
  </bookViews>
  <sheets>
    <sheet name="Sheet1" sheetId="2" r:id="rId1"/>
    <sheet name="Cleaned_Smart_Public_Transport_" sheetId="1" r:id="rId2"/>
  </sheets>
  <definedNames>
    <definedName name="Slicer_Bus_Type">#N/A</definedName>
    <definedName name="Slicer_Trip_Status">#N/A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5" i="2" l="1"/>
  <c r="K4" i="2"/>
  <c r="K3" i="2"/>
</calcChain>
</file>

<file path=xl/sharedStrings.xml><?xml version="1.0" encoding="utf-8"?>
<sst xmlns="http://schemas.openxmlformats.org/spreadsheetml/2006/main" count="4185" uniqueCount="939">
  <si>
    <t>Route_ID</t>
  </si>
  <si>
    <t>Route_Name</t>
  </si>
  <si>
    <t>Bus_Number</t>
  </si>
  <si>
    <t>Bus_Type</t>
  </si>
  <si>
    <t>Date</t>
  </si>
  <si>
    <t>Departure_Time</t>
  </si>
  <si>
    <t>Delay_Duration_Minutes</t>
  </si>
  <si>
    <t>Passenger_Count</t>
  </si>
  <si>
    <t>Ticket_Revenue</t>
  </si>
  <si>
    <t>Fuel_Consumption_Liters</t>
  </si>
  <si>
    <t>Driver_ID</t>
  </si>
  <si>
    <t>Weather_Condition</t>
  </si>
  <si>
    <t>Day_Type</t>
  </si>
  <si>
    <t>Trip_Status</t>
  </si>
  <si>
    <t>R-104</t>
  </si>
  <si>
    <t>Route D (Clifton - DHA)</t>
  </si>
  <si>
    <t>BUS-5491</t>
  </si>
  <si>
    <t>Mini Bus</t>
  </si>
  <si>
    <t>DRV-518</t>
  </si>
  <si>
    <t>Foggy</t>
  </si>
  <si>
    <t>Weekend</t>
  </si>
  <si>
    <t>Delayed</t>
  </si>
  <si>
    <t>R-105</t>
  </si>
  <si>
    <t>Route E (Metro Hub - Industrial Area)</t>
  </si>
  <si>
    <t>BUS-8192</t>
  </si>
  <si>
    <t>Double Decker</t>
  </si>
  <si>
    <t>DRV-855</t>
  </si>
  <si>
    <t>Clear</t>
  </si>
  <si>
    <t>Weekday</t>
  </si>
  <si>
    <t>On Time</t>
  </si>
  <si>
    <t>R-103</t>
  </si>
  <si>
    <t>Route C (Johar Town - Mall Road)</t>
  </si>
  <si>
    <t>BUS-6588</t>
  </si>
  <si>
    <t>Articulated Bus</t>
  </si>
  <si>
    <t>DRV-606</t>
  </si>
  <si>
    <t>BUS-8651</t>
  </si>
  <si>
    <t>DRV-440</t>
  </si>
  <si>
    <t>Overcast</t>
  </si>
  <si>
    <t>BUS-4636</t>
  </si>
  <si>
    <t>DRV-226</t>
  </si>
  <si>
    <t>R-102</t>
  </si>
  <si>
    <t>Route B (Saddar - Gulberg)</t>
  </si>
  <si>
    <t>BUS-2167</t>
  </si>
  <si>
    <t>DRV-508</t>
  </si>
  <si>
    <t>Rainy</t>
  </si>
  <si>
    <t>Cancelled</t>
  </si>
  <si>
    <t>BUS-2062</t>
  </si>
  <si>
    <t>Standard Electric</t>
  </si>
  <si>
    <t>DRV-466</t>
  </si>
  <si>
    <t>BUS-3156</t>
  </si>
  <si>
    <t>DRV-370</t>
  </si>
  <si>
    <t>BUS-8860</t>
  </si>
  <si>
    <t>DRV-743</t>
  </si>
  <si>
    <t>BUS-6161</t>
  </si>
  <si>
    <t>DRV-704</t>
  </si>
  <si>
    <t>BUS-6305</t>
  </si>
  <si>
    <t>DRV-478</t>
  </si>
  <si>
    <t>BUS-7541</t>
  </si>
  <si>
    <t>DRV-172</t>
  </si>
  <si>
    <t>BUS-5729</t>
  </si>
  <si>
    <t>DRV-347</t>
  </si>
  <si>
    <t>BUS-8330</t>
  </si>
  <si>
    <t>DRV-959</t>
  </si>
  <si>
    <t>BUS-6334</t>
  </si>
  <si>
    <t>DRV-884</t>
  </si>
  <si>
    <t>BUS-9924</t>
  </si>
  <si>
    <t>DRV-142</t>
  </si>
  <si>
    <t>BUS-5330</t>
  </si>
  <si>
    <t>DRV-476</t>
  </si>
  <si>
    <t>BUS-9010</t>
  </si>
  <si>
    <t>DRV-140</t>
  </si>
  <si>
    <t>R-101</t>
  </si>
  <si>
    <t>Route A (Downtown - Airport)</t>
  </si>
  <si>
    <t>BUS-7801</t>
  </si>
  <si>
    <t>DRV-269</t>
  </si>
  <si>
    <t>BUS-5846</t>
  </si>
  <si>
    <t>DRV-311</t>
  </si>
  <si>
    <t>BUS-7731</t>
  </si>
  <si>
    <t>DRV-592</t>
  </si>
  <si>
    <t>BUS-8241</t>
  </si>
  <si>
    <t>DRV-779</t>
  </si>
  <si>
    <t>BUS-1953</t>
  </si>
  <si>
    <t>DRV-138</t>
  </si>
  <si>
    <t>BUS-3539</t>
  </si>
  <si>
    <t>DRV-468</t>
  </si>
  <si>
    <t>BUS-8056</t>
  </si>
  <si>
    <t>DRV-856</t>
  </si>
  <si>
    <t>BUS-2542</t>
  </si>
  <si>
    <t>DRV-250</t>
  </si>
  <si>
    <t>BUS-6293</t>
  </si>
  <si>
    <t>DRV-210</t>
  </si>
  <si>
    <t>BUS-2191</t>
  </si>
  <si>
    <t>DRV-579</t>
  </si>
  <si>
    <t>BUS-7313</t>
  </si>
  <si>
    <t>DRV-535</t>
  </si>
  <si>
    <t>BUS-7938</t>
  </si>
  <si>
    <t>DRV-146</t>
  </si>
  <si>
    <t>BUS-3681</t>
  </si>
  <si>
    <t>DRV-674</t>
  </si>
  <si>
    <t>BUS-2540</t>
  </si>
  <si>
    <t>DRV-836</t>
  </si>
  <si>
    <t>BUS-7172</t>
  </si>
  <si>
    <t>DRV-465</t>
  </si>
  <si>
    <t>BUS-6541</t>
  </si>
  <si>
    <t>DRV-168</t>
  </si>
  <si>
    <t>BUS-2365</t>
  </si>
  <si>
    <t>DRV-398</t>
  </si>
  <si>
    <t>BUS-9691</t>
  </si>
  <si>
    <t>DRV-901</t>
  </si>
  <si>
    <t>BUS-9702</t>
  </si>
  <si>
    <t>DRV-395</t>
  </si>
  <si>
    <t>BUS-8494</t>
  </si>
  <si>
    <t>DRV-302</t>
  </si>
  <si>
    <t>BUS-5312</t>
  </si>
  <si>
    <t>DRV-160</t>
  </si>
  <si>
    <t>BUS-2324</t>
  </si>
  <si>
    <t>DRV-929</t>
  </si>
  <si>
    <t>BUS-4141</t>
  </si>
  <si>
    <t>DRV-413</t>
  </si>
  <si>
    <t>BUS-8419</t>
  </si>
  <si>
    <t>DRV-260</t>
  </si>
  <si>
    <t>BUS-4486</t>
  </si>
  <si>
    <t>DRV-430</t>
  </si>
  <si>
    <t>BUS-2810</t>
  </si>
  <si>
    <t>DRV-627</t>
  </si>
  <si>
    <t>BUS-7588</t>
  </si>
  <si>
    <t>DRV-437</t>
  </si>
  <si>
    <t>BUS-3923</t>
  </si>
  <si>
    <t>DRV-705</t>
  </si>
  <si>
    <t>BUS-6301</t>
  </si>
  <si>
    <t>DRV-403</t>
  </si>
  <si>
    <t>BUS-5186</t>
  </si>
  <si>
    <t>DRV-602</t>
  </si>
  <si>
    <t>BUS-9905</t>
  </si>
  <si>
    <t>DRV-749</t>
  </si>
  <si>
    <t>BUS-6977</t>
  </si>
  <si>
    <t>BUS-5268</t>
  </si>
  <si>
    <t>DRV-649</t>
  </si>
  <si>
    <t>BUS-5748</t>
  </si>
  <si>
    <t>DRV-738</t>
  </si>
  <si>
    <t>BUS-5849</t>
  </si>
  <si>
    <t>DRV-374</t>
  </si>
  <si>
    <t>BUS-4709</t>
  </si>
  <si>
    <t>DRV-263</t>
  </si>
  <si>
    <t>BUS-7619</t>
  </si>
  <si>
    <t>DRV-542</t>
  </si>
  <si>
    <t>BUS-9647</t>
  </si>
  <si>
    <t>DRV-418</t>
  </si>
  <si>
    <t>BUS-4072</t>
  </si>
  <si>
    <t>DRV-688</t>
  </si>
  <si>
    <t>BUS-7530</t>
  </si>
  <si>
    <t>DRV-603</t>
  </si>
  <si>
    <t>BUS-1504</t>
  </si>
  <si>
    <t>DRV-785</t>
  </si>
  <si>
    <t>BUS-2214</t>
  </si>
  <si>
    <t>DRV-486</t>
  </si>
  <si>
    <t>BUS-2531</t>
  </si>
  <si>
    <t>DRV-969</t>
  </si>
  <si>
    <t>BUS-8576</t>
  </si>
  <si>
    <t>DRV-932</t>
  </si>
  <si>
    <t>BUS-1823</t>
  </si>
  <si>
    <t>DRV-987</t>
  </si>
  <si>
    <t>BUS-1928</t>
  </si>
  <si>
    <t>DRV-702</t>
  </si>
  <si>
    <t>BUS-6029</t>
  </si>
  <si>
    <t>DRV-849</t>
  </si>
  <si>
    <t>BUS-1133</t>
  </si>
  <si>
    <t>DRV-875</t>
  </si>
  <si>
    <t>BUS-3105</t>
  </si>
  <si>
    <t>DRV-790</t>
  </si>
  <si>
    <t>BUS-4627</t>
  </si>
  <si>
    <t>DRV-593</t>
  </si>
  <si>
    <t>BUS-7316</t>
  </si>
  <si>
    <t>DRV-589</t>
  </si>
  <si>
    <t>BUS-2852</t>
  </si>
  <si>
    <t>DRV-820</t>
  </si>
  <si>
    <t>BUS-5910</t>
  </si>
  <si>
    <t>BUS-5175</t>
  </si>
  <si>
    <t>DRV-608</t>
  </si>
  <si>
    <t>BUS-6348</t>
  </si>
  <si>
    <t>DRV-489</t>
  </si>
  <si>
    <t>BUS-7190</t>
  </si>
  <si>
    <t>DRV-718</t>
  </si>
  <si>
    <t>BUS-2256</t>
  </si>
  <si>
    <t>DRV-956</t>
  </si>
  <si>
    <t>BUS-4376</t>
  </si>
  <si>
    <t>DRV-394</t>
  </si>
  <si>
    <t>BUS-6645</t>
  </si>
  <si>
    <t>DRV-895</t>
  </si>
  <si>
    <t>BUS-4584</t>
  </si>
  <si>
    <t>DRV-964</t>
  </si>
  <si>
    <t>BUS-9053</t>
  </si>
  <si>
    <t>DRV-793</t>
  </si>
  <si>
    <t>BUS-4330</t>
  </si>
  <si>
    <t>DRV-648</t>
  </si>
  <si>
    <t>BUS-3703</t>
  </si>
  <si>
    <t>DRV-748</t>
  </si>
  <si>
    <t>BUS-9662</t>
  </si>
  <si>
    <t>DRV-949</t>
  </si>
  <si>
    <t>BUS-9120</t>
  </si>
  <si>
    <t>DRV-667</t>
  </si>
  <si>
    <t>BUS-8114</t>
  </si>
  <si>
    <t>DRV-286</t>
  </si>
  <si>
    <t>BUS-2353</t>
  </si>
  <si>
    <t>DRV-952</t>
  </si>
  <si>
    <t>BUS-6063</t>
  </si>
  <si>
    <t>DRV-869</t>
  </si>
  <si>
    <t>BUS-9549</t>
  </si>
  <si>
    <t>DRV-544</t>
  </si>
  <si>
    <t>BUS-8575</t>
  </si>
  <si>
    <t>DRV-669</t>
  </si>
  <si>
    <t>BUS-1667</t>
  </si>
  <si>
    <t>DRV-462</t>
  </si>
  <si>
    <t>BUS-5468</t>
  </si>
  <si>
    <t>DRV-222</t>
  </si>
  <si>
    <t>BUS-7819</t>
  </si>
  <si>
    <t>DRV-287</t>
  </si>
  <si>
    <t>BUS-4719</t>
  </si>
  <si>
    <t>DRV-841</t>
  </si>
  <si>
    <t>BUS-3745</t>
  </si>
  <si>
    <t>BUS-8483</t>
  </si>
  <si>
    <t>DRV-519</t>
  </si>
  <si>
    <t>BUS-1539</t>
  </si>
  <si>
    <t>DRV-725</t>
  </si>
  <si>
    <t>BUS-5964</t>
  </si>
  <si>
    <t>DRV-351</t>
  </si>
  <si>
    <t>BUS-5835</t>
  </si>
  <si>
    <t>BUS-4775</t>
  </si>
  <si>
    <t>BUS-7042</t>
  </si>
  <si>
    <t>DRV-434</t>
  </si>
  <si>
    <t>BUS-8102</t>
  </si>
  <si>
    <t>DRV-191</t>
  </si>
  <si>
    <t>BUS-8312</t>
  </si>
  <si>
    <t>DRV-629</t>
  </si>
  <si>
    <t>BUS-6320</t>
  </si>
  <si>
    <t>DRV-965</t>
  </si>
  <si>
    <t>BUS-7132</t>
  </si>
  <si>
    <t>DRV-162</t>
  </si>
  <si>
    <t>BUS-8891</t>
  </si>
  <si>
    <t>DRV-761</t>
  </si>
  <si>
    <t>BUS-3779</t>
  </si>
  <si>
    <t>DRV-611</t>
  </si>
  <si>
    <t>BUS-1924</t>
  </si>
  <si>
    <t>DRV-238</t>
  </si>
  <si>
    <t>BUS-2581</t>
  </si>
  <si>
    <t>DRV-797</t>
  </si>
  <si>
    <t>BUS-8714</t>
  </si>
  <si>
    <t>DRV-284</t>
  </si>
  <si>
    <t>BUS-4324</t>
  </si>
  <si>
    <t>DRV-304</t>
  </si>
  <si>
    <t>BUS-6713</t>
  </si>
  <si>
    <t>DRV-871</t>
  </si>
  <si>
    <t>BUS-8026</t>
  </si>
  <si>
    <t>DRV-313</t>
  </si>
  <si>
    <t>BUS-1255</t>
  </si>
  <si>
    <t>DRV-355</t>
  </si>
  <si>
    <t>BUS-5804</t>
  </si>
  <si>
    <t>DRV-234</t>
  </si>
  <si>
    <t>BUS-2838</t>
  </si>
  <si>
    <t>DRV-672</t>
  </si>
  <si>
    <t>BUS-1009</t>
  </si>
  <si>
    <t>DRV-974</t>
  </si>
  <si>
    <t>BUS-3871</t>
  </si>
  <si>
    <t>DRV-921</t>
  </si>
  <si>
    <t>BUS-9989</t>
  </si>
  <si>
    <t>DRV-187</t>
  </si>
  <si>
    <t>BUS-8409</t>
  </si>
  <si>
    <t>DRV-935</t>
  </si>
  <si>
    <t>BUS-8418</t>
  </si>
  <si>
    <t>DRV-306</t>
  </si>
  <si>
    <t>BUS-6124</t>
  </si>
  <si>
    <t>DRV-228</t>
  </si>
  <si>
    <t>BUS-2015</t>
  </si>
  <si>
    <t>DRV-922</t>
  </si>
  <si>
    <t>BUS-3193</t>
  </si>
  <si>
    <t>DRV-102</t>
  </si>
  <si>
    <t>BUS-9415</t>
  </si>
  <si>
    <t>DRV-853</t>
  </si>
  <si>
    <t>BUS-8449</t>
  </si>
  <si>
    <t>DRV-220</t>
  </si>
  <si>
    <t>BUS-5158</t>
  </si>
  <si>
    <t>DRV-484</t>
  </si>
  <si>
    <t>BUS-4925</t>
  </si>
  <si>
    <t>DRV-713</t>
  </si>
  <si>
    <t>BUS-7970</t>
  </si>
  <si>
    <t>DRV-137</t>
  </si>
  <si>
    <t>BUS-5784</t>
  </si>
  <si>
    <t>DRV-744</t>
  </si>
  <si>
    <t>BUS-5000</t>
  </si>
  <si>
    <t>DRV-813</t>
  </si>
  <si>
    <t>BUS-2633</t>
  </si>
  <si>
    <t>BUS-8266</t>
  </si>
  <si>
    <t>DRV-120</t>
  </si>
  <si>
    <t>DRV-341</t>
  </si>
  <si>
    <t>BUS-1384</t>
  </si>
  <si>
    <t>DRV-554</t>
  </si>
  <si>
    <t>BUS-1404</t>
  </si>
  <si>
    <t>DRV-720</t>
  </si>
  <si>
    <t>BUS-9175</t>
  </si>
  <si>
    <t>DRV-402</t>
  </si>
  <si>
    <t>BUS-3000</t>
  </si>
  <si>
    <t>DRV-695</t>
  </si>
  <si>
    <t>BUS-6989</t>
  </si>
  <si>
    <t>DRV-694</t>
  </si>
  <si>
    <t>BUS-2460</t>
  </si>
  <si>
    <t>DRV-902</t>
  </si>
  <si>
    <t>BUS-8190</t>
  </si>
  <si>
    <t>BUS-8140</t>
  </si>
  <si>
    <t>DRV-295</t>
  </si>
  <si>
    <t>BUS-5809</t>
  </si>
  <si>
    <t>DRV-239</t>
  </si>
  <si>
    <t>BUS-5178</t>
  </si>
  <si>
    <t>DRV-543</t>
  </si>
  <si>
    <t>BUS-8245</t>
  </si>
  <si>
    <t>DRV-382</t>
  </si>
  <si>
    <t>BUS-7600</t>
  </si>
  <si>
    <t>DRV-411</t>
  </si>
  <si>
    <t>BUS-6997</t>
  </si>
  <si>
    <t>DRV-845</t>
  </si>
  <si>
    <t>BUS-3048</t>
  </si>
  <si>
    <t>DRV-634</t>
  </si>
  <si>
    <t>BUS-5780</t>
  </si>
  <si>
    <t>DRV-764</t>
  </si>
  <si>
    <t>BUS-1716</t>
  </si>
  <si>
    <t>DRV-376</t>
  </si>
  <si>
    <t>BUS-8939</t>
  </si>
  <si>
    <t>BUS-6565</t>
  </si>
  <si>
    <t>BUS-5544</t>
  </si>
  <si>
    <t>DRV-989</t>
  </si>
  <si>
    <t>BUS-5976</t>
  </si>
  <si>
    <t>DRV-151</t>
  </si>
  <si>
    <t>BUS-4419</t>
  </si>
  <si>
    <t>DRV-955</t>
  </si>
  <si>
    <t>BUS-8239</t>
  </si>
  <si>
    <t>DRV-252</t>
  </si>
  <si>
    <t>BUS-1249</t>
  </si>
  <si>
    <t>DRV-848</t>
  </si>
  <si>
    <t>BUS-9865</t>
  </si>
  <si>
    <t>DRV-410</t>
  </si>
  <si>
    <t>BUS-1770</t>
  </si>
  <si>
    <t>DRV-913</t>
  </si>
  <si>
    <t>BUS-5363</t>
  </si>
  <si>
    <t>DRV-643</t>
  </si>
  <si>
    <t>BUS-2077</t>
  </si>
  <si>
    <t>DRV-666</t>
  </si>
  <si>
    <t>BUS-9427</t>
  </si>
  <si>
    <t>DRV-963</t>
  </si>
  <si>
    <t>BUS-9580</t>
  </si>
  <si>
    <t>DRV-488</t>
  </si>
  <si>
    <t>BUS-8901</t>
  </si>
  <si>
    <t>DRV-647</t>
  </si>
  <si>
    <t>BUS-5858</t>
  </si>
  <si>
    <t>DRV-721</t>
  </si>
  <si>
    <t>BUS-7544</t>
  </si>
  <si>
    <t>DRV-276</t>
  </si>
  <si>
    <t>BUS-5719</t>
  </si>
  <si>
    <t>DRV-461</t>
  </si>
  <si>
    <t>BUS-3814</t>
  </si>
  <si>
    <t>BUS-4374</t>
  </si>
  <si>
    <t>DRV-906</t>
  </si>
  <si>
    <t>BUS-2252</t>
  </si>
  <si>
    <t>DRV-947</t>
  </si>
  <si>
    <t>BUS-7996</t>
  </si>
  <si>
    <t>DRV-196</t>
  </si>
  <si>
    <t>BUS-5673</t>
  </si>
  <si>
    <t>DRV-980</t>
  </si>
  <si>
    <t>BUS-5530</t>
  </si>
  <si>
    <t>DRV-312</t>
  </si>
  <si>
    <t>BUS-7881</t>
  </si>
  <si>
    <t>DRV-928</t>
  </si>
  <si>
    <t>BUS-7949</t>
  </si>
  <si>
    <t>DRV-236</t>
  </si>
  <si>
    <t>BUS-7241</t>
  </si>
  <si>
    <t>DRV-105</t>
  </si>
  <si>
    <t>BUS-9017</t>
  </si>
  <si>
    <t>DRV-208</t>
  </si>
  <si>
    <t>BUS-7941</t>
  </si>
  <si>
    <t>DRV-646</t>
  </si>
  <si>
    <t>BUS-8002</t>
  </si>
  <si>
    <t>BUS-2331</t>
  </si>
  <si>
    <t>BUS-5261</t>
  </si>
  <si>
    <t>DRV-524</t>
  </si>
  <si>
    <t>BUS-8648</t>
  </si>
  <si>
    <t>DRV-729</t>
  </si>
  <si>
    <t>BUS-6115</t>
  </si>
  <si>
    <t>DRV-360</t>
  </si>
  <si>
    <t>BUS-5637</t>
  </si>
  <si>
    <t>DRV-525</t>
  </si>
  <si>
    <t>BUS-5854</t>
  </si>
  <si>
    <t>DRV-186</t>
  </si>
  <si>
    <t>BUS-4177</t>
  </si>
  <si>
    <t>DRV-564</t>
  </si>
  <si>
    <t>BUS-8730</t>
  </si>
  <si>
    <t>DRV-175</t>
  </si>
  <si>
    <t>BUS-3180</t>
  </si>
  <si>
    <t>DRV-570</t>
  </si>
  <si>
    <t>BUS-5892</t>
  </si>
  <si>
    <t>DRV-513</t>
  </si>
  <si>
    <t>BUS-8043</t>
  </si>
  <si>
    <t>DRV-924</t>
  </si>
  <si>
    <t>BUS-1137</t>
  </si>
  <si>
    <t>DRV-994</t>
  </si>
  <si>
    <t>BUS-7327</t>
  </si>
  <si>
    <t>DRV-825</t>
  </si>
  <si>
    <t>BUS-4472</t>
  </si>
  <si>
    <t>DRV-556</t>
  </si>
  <si>
    <t>BUS-6449</t>
  </si>
  <si>
    <t>DRV-384</t>
  </si>
  <si>
    <t>BUS-3832</t>
  </si>
  <si>
    <t>DRV-338</t>
  </si>
  <si>
    <t>BUS-4579</t>
  </si>
  <si>
    <t>DRV-776</t>
  </si>
  <si>
    <t>BUS-6971</t>
  </si>
  <si>
    <t>DRV-698</t>
  </si>
  <si>
    <t>BUS-5164</t>
  </si>
  <si>
    <t>DRV-752</t>
  </si>
  <si>
    <t>BUS-8941</t>
  </si>
  <si>
    <t>DRV-771</t>
  </si>
  <si>
    <t>BUS-6569</t>
  </si>
  <si>
    <t>DRV-657</t>
  </si>
  <si>
    <t>BUS-5300</t>
  </si>
  <si>
    <t>DRV-471</t>
  </si>
  <si>
    <t>BUS-7269</t>
  </si>
  <si>
    <t>DRV-594</t>
  </si>
  <si>
    <t>BUS-4818</t>
  </si>
  <si>
    <t>DRV-723</t>
  </si>
  <si>
    <t>BUS-2906</t>
  </si>
  <si>
    <t>DRV-144</t>
  </si>
  <si>
    <t>BUS-7254</t>
  </si>
  <si>
    <t>DRV-500</t>
  </si>
  <si>
    <t>BUS-1760</t>
  </si>
  <si>
    <t>DRV-346</t>
  </si>
  <si>
    <t>BUS-8830</t>
  </si>
  <si>
    <t>DRV-715</t>
  </si>
  <si>
    <t>BUS-8350</t>
  </si>
  <si>
    <t>DRV-696</t>
  </si>
  <si>
    <t>BUS-7238</t>
  </si>
  <si>
    <t>DRV-549</t>
  </si>
  <si>
    <t>BUS-7090</t>
  </si>
  <si>
    <t>DRV-584</t>
  </si>
  <si>
    <t>BUS-7031</t>
  </si>
  <si>
    <t>DRV-745</t>
  </si>
  <si>
    <t>BUS-8687</t>
  </si>
  <si>
    <t>DRV-719</t>
  </si>
  <si>
    <t>BUS-9472</t>
  </si>
  <si>
    <t>DRV-117</t>
  </si>
  <si>
    <t>BUS-2887</t>
  </si>
  <si>
    <t>BUS-4266</t>
  </si>
  <si>
    <t>BUS-1666</t>
  </si>
  <si>
    <t>DRV-857</t>
  </si>
  <si>
    <t>BUS-5188</t>
  </si>
  <si>
    <t>DRV-388</t>
  </si>
  <si>
    <t>BUS-1671</t>
  </si>
  <si>
    <t>BUS-7777</t>
  </si>
  <si>
    <t>BUS-8570</t>
  </si>
  <si>
    <t>DRV-737</t>
  </si>
  <si>
    <t>BUS-8956</t>
  </si>
  <si>
    <t>DRV-334</t>
  </si>
  <si>
    <t>DRV-515</t>
  </si>
  <si>
    <t>BUS-6585</t>
  </si>
  <si>
    <t>DRV-598</t>
  </si>
  <si>
    <t>BUS-5777</t>
  </si>
  <si>
    <t>DRV-733</t>
  </si>
  <si>
    <t>BUS-4900</t>
  </si>
  <si>
    <t>BUS-7677</t>
  </si>
  <si>
    <t>DRV-214</t>
  </si>
  <si>
    <t>BUS-7981</t>
  </si>
  <si>
    <t>DRV-773</t>
  </si>
  <si>
    <t>BUS-7376</t>
  </si>
  <si>
    <t>DRV-812</t>
  </si>
  <si>
    <t>BUS-1523</t>
  </si>
  <si>
    <t>DRV-333</t>
  </si>
  <si>
    <t>BUS-3393</t>
  </si>
  <si>
    <t>DRV-639</t>
  </si>
  <si>
    <t>BUS-3593</t>
  </si>
  <si>
    <t>DRV-110</t>
  </si>
  <si>
    <t>BUS-8240</t>
  </si>
  <si>
    <t>DRV-305</t>
  </si>
  <si>
    <t>BUS-7937</t>
  </si>
  <si>
    <t>DRV-778</t>
  </si>
  <si>
    <t>BUS-6240</t>
  </si>
  <si>
    <t>DRV-658</t>
  </si>
  <si>
    <t>BUS-7493</t>
  </si>
  <si>
    <t>BUS-3878</t>
  </si>
  <si>
    <t>BUS-5143</t>
  </si>
  <si>
    <t>DRV-246</t>
  </si>
  <si>
    <t>BUS-4644</t>
  </si>
  <si>
    <t>DRV-217</t>
  </si>
  <si>
    <t>BUS-5432</t>
  </si>
  <si>
    <t>DRV-481</t>
  </si>
  <si>
    <t>BUS-2276</t>
  </si>
  <si>
    <t>DRV-511</t>
  </si>
  <si>
    <t>BUS-6811</t>
  </si>
  <si>
    <t>DRV-763</t>
  </si>
  <si>
    <t>BUS-1302</t>
  </si>
  <si>
    <t>DRV-683</t>
  </si>
  <si>
    <t>BUS-1638</t>
  </si>
  <si>
    <t>BUS-1055</t>
  </si>
  <si>
    <t>BUS-9717</t>
  </si>
  <si>
    <t>BUS-9150</t>
  </si>
  <si>
    <t>DRV-274</t>
  </si>
  <si>
    <t>BUS-3125</t>
  </si>
  <si>
    <t>BUS-1364</t>
  </si>
  <si>
    <t>DRV-580</t>
  </si>
  <si>
    <t>BUS-7809</t>
  </si>
  <si>
    <t>DRV-118</t>
  </si>
  <si>
    <t>BUS-5621</t>
  </si>
  <si>
    <t>DRV-294</t>
  </si>
  <si>
    <t>BUS-6126</t>
  </si>
  <si>
    <t>DRV-429</t>
  </si>
  <si>
    <t>BUS-6122</t>
  </si>
  <si>
    <t>BUS-2646</t>
  </si>
  <si>
    <t>DRV-548</t>
  </si>
  <si>
    <t>BUS-1918</t>
  </si>
  <si>
    <t>DRV-453</t>
  </si>
  <si>
    <t>BUS-3797</t>
  </si>
  <si>
    <t>BUS-7506</t>
  </si>
  <si>
    <t>DRV-240</t>
  </si>
  <si>
    <t>BUS-6870</t>
  </si>
  <si>
    <t>DRV-996</t>
  </si>
  <si>
    <t>BUS-9172</t>
  </si>
  <si>
    <t>DRV-192</t>
  </si>
  <si>
    <t>BUS-4345</t>
  </si>
  <si>
    <t>BUS-8673</t>
  </si>
  <si>
    <t>DRV-659</t>
  </si>
  <si>
    <t>BUS-7882</t>
  </si>
  <si>
    <t>DRV-532</t>
  </si>
  <si>
    <t>DRV-344</t>
  </si>
  <si>
    <t>BUS-4086</t>
  </si>
  <si>
    <t>DRV-931</t>
  </si>
  <si>
    <t>BUS-9152</t>
  </si>
  <si>
    <t>DRV-416</t>
  </si>
  <si>
    <t>BUS-6750</t>
  </si>
  <si>
    <t>DRV-739</t>
  </si>
  <si>
    <t>BUS-2976</t>
  </si>
  <si>
    <t>DRV-381</t>
  </si>
  <si>
    <t>BUS-2296</t>
  </si>
  <si>
    <t>DRV-116</t>
  </si>
  <si>
    <t>BUS-7229</t>
  </si>
  <si>
    <t>DRV-170</t>
  </si>
  <si>
    <t>BUS-8641</t>
  </si>
  <si>
    <t>DRV-368</t>
  </si>
  <si>
    <t>BUS-1125</t>
  </si>
  <si>
    <t>DRV-424</t>
  </si>
  <si>
    <t>BUS-5632</t>
  </si>
  <si>
    <t>DRV-893</t>
  </si>
  <si>
    <t>BUS-7288</t>
  </si>
  <si>
    <t>DRV-404</t>
  </si>
  <si>
    <t>BUS-4596</t>
  </si>
  <si>
    <t>DRV-550</t>
  </si>
  <si>
    <t>BUS-7168</t>
  </si>
  <si>
    <t>DRV-106</t>
  </si>
  <si>
    <t>BUS-8561</t>
  </si>
  <si>
    <t>BUS-9258</t>
  </si>
  <si>
    <t>DRV-916</t>
  </si>
  <si>
    <t>BUS-1232</t>
  </si>
  <si>
    <t>DRV-202</t>
  </si>
  <si>
    <t>BUS-7371</t>
  </si>
  <si>
    <t>DRV-920</t>
  </si>
  <si>
    <t>BUS-5206</t>
  </si>
  <si>
    <t>DRV-292</t>
  </si>
  <si>
    <t>BUS-8943</t>
  </si>
  <si>
    <t>DRV-852</t>
  </si>
  <si>
    <t>BUS-7891</t>
  </si>
  <si>
    <t>DRV-673</t>
  </si>
  <si>
    <t>BUS-7738</t>
  </si>
  <si>
    <t>DRV-628</t>
  </si>
  <si>
    <t>BUS-3472</t>
  </si>
  <si>
    <t>DRV-270</t>
  </si>
  <si>
    <t>BUS-3739</t>
  </si>
  <si>
    <t>DRV-636</t>
  </si>
  <si>
    <t>BUS-6401</t>
  </si>
  <si>
    <t>DRV-350</t>
  </si>
  <si>
    <t>BUS-2761</t>
  </si>
  <si>
    <t>DRV-864</t>
  </si>
  <si>
    <t>BUS-1876</t>
  </si>
  <si>
    <t>BUS-4812</t>
  </si>
  <si>
    <t>DRV-640</t>
  </si>
  <si>
    <t>BUS-2733</t>
  </si>
  <si>
    <t>DRV-728</t>
  </si>
  <si>
    <t>BUS-2605</t>
  </si>
  <si>
    <t>BUS-6622</t>
  </si>
  <si>
    <t>BUS-7767</t>
  </si>
  <si>
    <t>DRV-479</t>
  </si>
  <si>
    <t>BUS-7986</t>
  </si>
  <si>
    <t>DRV-243</t>
  </si>
  <si>
    <t>BUS-4517</t>
  </si>
  <si>
    <t>DRV-124</t>
  </si>
  <si>
    <t>BUS-4735</t>
  </si>
  <si>
    <t>BUS-9434</t>
  </si>
  <si>
    <t>DRV-767</t>
  </si>
  <si>
    <t>BUS-3590</t>
  </si>
  <si>
    <t>BUS-2063</t>
  </si>
  <si>
    <t>DRV-731</t>
  </si>
  <si>
    <t>BUS-5324</t>
  </si>
  <si>
    <t>DRV-923</t>
  </si>
  <si>
    <t>BUS-6342</t>
  </si>
  <si>
    <t>BUS-1005</t>
  </si>
  <si>
    <t>BUS-8489</t>
  </si>
  <si>
    <t>DRV-604</t>
  </si>
  <si>
    <t>BUS-9659</t>
  </si>
  <si>
    <t>DRV-697</t>
  </si>
  <si>
    <t>BUS-9195</t>
  </si>
  <si>
    <t>DRV-435</t>
  </si>
  <si>
    <t>BUS-6966</t>
  </si>
  <si>
    <t>BUS-9837</t>
  </si>
  <si>
    <t>BUS-1117</t>
  </si>
  <si>
    <t>DRV-463</t>
  </si>
  <si>
    <t>BUS-3551</t>
  </si>
  <si>
    <t>BUS-6560</t>
  </si>
  <si>
    <t>DRV-844</t>
  </si>
  <si>
    <t>BUS-5289</t>
  </si>
  <si>
    <t>DRV-298</t>
  </si>
  <si>
    <t>BUS-1846</t>
  </si>
  <si>
    <t>DRV-817</t>
  </si>
  <si>
    <t>DRV-512</t>
  </si>
  <si>
    <t>BUS-7469</t>
  </si>
  <si>
    <t>DRV-438</t>
  </si>
  <si>
    <t>BUS-9915</t>
  </si>
  <si>
    <t>DRV-758</t>
  </si>
  <si>
    <t>BUS-1224</t>
  </si>
  <si>
    <t>DRV-528</t>
  </si>
  <si>
    <t>BUS-5208</t>
  </si>
  <si>
    <t>DRV-882</t>
  </si>
  <si>
    <t>BUS-7283</t>
  </si>
  <si>
    <t>DRV-998</t>
  </si>
  <si>
    <t>BUS-7233</t>
  </si>
  <si>
    <t>DRV-792</t>
  </si>
  <si>
    <t>BUS-2828</t>
  </si>
  <si>
    <t>DRV-641</t>
  </si>
  <si>
    <t>BUS-2917</t>
  </si>
  <si>
    <t>DRV-156</t>
  </si>
  <si>
    <t>BUS-5234</t>
  </si>
  <si>
    <t>DRV-331</t>
  </si>
  <si>
    <t>BUS-7988</t>
  </si>
  <si>
    <t>DRV-757</t>
  </si>
  <si>
    <t>BUS-3026</t>
  </si>
  <si>
    <t>DRV-534</t>
  </si>
  <si>
    <t>BUS-4744</t>
  </si>
  <si>
    <t>DRV-483</t>
  </si>
  <si>
    <t>BUS-1260</t>
  </si>
  <si>
    <t>DRV-293</t>
  </si>
  <si>
    <t>BUS-7038</t>
  </si>
  <si>
    <t>DRV-835</t>
  </si>
  <si>
    <t>BUS-3219</t>
  </si>
  <si>
    <t>DRV-747</t>
  </si>
  <si>
    <t>BUS-8041</t>
  </si>
  <si>
    <t>DRV-633</t>
  </si>
  <si>
    <t>BUS-3060</t>
  </si>
  <si>
    <t>DRV-617</t>
  </si>
  <si>
    <t>BUS-6287</t>
  </si>
  <si>
    <t>DRV-815</t>
  </si>
  <si>
    <t>BUS-2619</t>
  </si>
  <si>
    <t>DRV-850</t>
  </si>
  <si>
    <t>BUS-9512</t>
  </si>
  <si>
    <t>BUS-2342</t>
  </si>
  <si>
    <t>DRV-971</t>
  </si>
  <si>
    <t>DRV-391</t>
  </si>
  <si>
    <t>BUS-3824</t>
  </si>
  <si>
    <t>BUS-2994</t>
  </si>
  <si>
    <t>DRV-831</t>
  </si>
  <si>
    <t>BUS-4490</t>
  </si>
  <si>
    <t>DRV-215</t>
  </si>
  <si>
    <t>BUS-8984</t>
  </si>
  <si>
    <t>BUS-2604</t>
  </si>
  <si>
    <t>DRV-148</t>
  </si>
  <si>
    <t>BUS-1235</t>
  </si>
  <si>
    <t>DRV-784</t>
  </si>
  <si>
    <t>BUS-2908</t>
  </si>
  <si>
    <t>DRV-181</t>
  </si>
  <si>
    <t>BUS-9567</t>
  </si>
  <si>
    <t>DRV-933</t>
  </si>
  <si>
    <t>BUS-4530</t>
  </si>
  <si>
    <t>DRV-432</t>
  </si>
  <si>
    <t>BUS-6256</t>
  </si>
  <si>
    <t>DRV-656</t>
  </si>
  <si>
    <t>BUS-3635</t>
  </si>
  <si>
    <t>BUS-9162</t>
  </si>
  <si>
    <t>DRV-631</t>
  </si>
  <si>
    <t>BUS-3560</t>
  </si>
  <si>
    <t>DRV-320</t>
  </si>
  <si>
    <t>BUS-6415</t>
  </si>
  <si>
    <t>DRV-734</t>
  </si>
  <si>
    <t>BUS-4391</t>
  </si>
  <si>
    <t>BUS-6951</t>
  </si>
  <si>
    <t>DRV-832</t>
  </si>
  <si>
    <t>BUS-6468</t>
  </si>
  <si>
    <t>DRV-422</t>
  </si>
  <si>
    <t>BUS-9007</t>
  </si>
  <si>
    <t>DRV-950</t>
  </si>
  <si>
    <t>BUS-7413</t>
  </si>
  <si>
    <t>BUS-5820</t>
  </si>
  <si>
    <t>BUS-3898</t>
  </si>
  <si>
    <t>BUS-8546</t>
  </si>
  <si>
    <t>DRV-139</t>
  </si>
  <si>
    <t>BUS-1077</t>
  </si>
  <si>
    <t>DRV-158</t>
  </si>
  <si>
    <t>BUS-8577</t>
  </si>
  <si>
    <t>BUS-5227</t>
  </si>
  <si>
    <t>BUS-1600</t>
  </si>
  <si>
    <t>BUS-2065</t>
  </si>
  <si>
    <t>DRV-671</t>
  </si>
  <si>
    <t>BUS-3136</t>
  </si>
  <si>
    <t>DRV-983</t>
  </si>
  <si>
    <t>BUS-7943</t>
  </si>
  <si>
    <t>DRV-942</t>
  </si>
  <si>
    <t>BUS-8804</t>
  </si>
  <si>
    <t>DRV-221</t>
  </si>
  <si>
    <t>BUS-7565</t>
  </si>
  <si>
    <t>DRV-578</t>
  </si>
  <si>
    <t>BUS-6984</t>
  </si>
  <si>
    <t>BUS-6142</t>
  </si>
  <si>
    <t>DRV-195</t>
  </si>
  <si>
    <t>BUS-5670</t>
  </si>
  <si>
    <t>DRV-958</t>
  </si>
  <si>
    <t>BUS-3190</t>
  </si>
  <si>
    <t>BUS-3712</t>
  </si>
  <si>
    <t>BUS-3192</t>
  </si>
  <si>
    <t>DRV-997</t>
  </si>
  <si>
    <t>BUS-2248</t>
  </si>
  <si>
    <t>DRV-161</t>
  </si>
  <si>
    <t>BUS-5033</t>
  </si>
  <si>
    <t>BUS-2997</t>
  </si>
  <si>
    <t>DRV-660</t>
  </si>
  <si>
    <t>BUS-4687</t>
  </si>
  <si>
    <t>DRV-447</t>
  </si>
  <si>
    <t>BUS-5018</t>
  </si>
  <si>
    <t>DRV-770</t>
  </si>
  <si>
    <t>BUS-2970</t>
  </si>
  <si>
    <t>DRV-223</t>
  </si>
  <si>
    <t>BUS-9389</t>
  </si>
  <si>
    <t>DRV-581</t>
  </si>
  <si>
    <t>BUS-6765</t>
  </si>
  <si>
    <t>BUS-2202</t>
  </si>
  <si>
    <t>BUS-9135</t>
  </si>
  <si>
    <t>DRV-818</t>
  </si>
  <si>
    <t>BUS-6567</t>
  </si>
  <si>
    <t>DRV-147</t>
  </si>
  <si>
    <t>BUS-8667</t>
  </si>
  <si>
    <t>BUS-6742</t>
  </si>
  <si>
    <t>DRV-235</t>
  </si>
  <si>
    <t>BUS-6788</t>
  </si>
  <si>
    <t>DRV-300</t>
  </si>
  <si>
    <t>BUS-6408</t>
  </si>
  <si>
    <t>DRV-349</t>
  </si>
  <si>
    <t>BUS-9669</t>
  </si>
  <si>
    <t>BUS-1922</t>
  </si>
  <si>
    <t>DRV-968</t>
  </si>
  <si>
    <t>BUS-1419</t>
  </si>
  <si>
    <t>DRV-467</t>
  </si>
  <si>
    <t>BUS-3204</t>
  </si>
  <si>
    <t>BUS-2120</t>
  </si>
  <si>
    <t>BUS-1950</t>
  </si>
  <si>
    <t>BUS-3336</t>
  </si>
  <si>
    <t>BUS-6373</t>
  </si>
  <si>
    <t>BUS-3243</t>
  </si>
  <si>
    <t>DRV-599</t>
  </si>
  <si>
    <t>BUS-3645</t>
  </si>
  <si>
    <t>BUS-5612</t>
  </si>
  <si>
    <t>DRV-454</t>
  </si>
  <si>
    <t>BUS-2865</t>
  </si>
  <si>
    <t>BUS-7028</t>
  </si>
  <si>
    <t>DRV-310</t>
  </si>
  <si>
    <t>BUS-8326</t>
  </si>
  <si>
    <t>DRV-803</t>
  </si>
  <si>
    <t>DRV-143</t>
  </si>
  <si>
    <t>BUS-7359</t>
  </si>
  <si>
    <t>BUS-8863</t>
  </si>
  <si>
    <t>DRV-670</t>
  </si>
  <si>
    <t>BUS-4228</t>
  </si>
  <si>
    <t>DRV-682</t>
  </si>
  <si>
    <t>BUS-3371</t>
  </si>
  <si>
    <t>DRV-364</t>
  </si>
  <si>
    <t>BUS-3891</t>
  </si>
  <si>
    <t>BUS-4756</t>
  </si>
  <si>
    <t>DRV-319</t>
  </si>
  <si>
    <t>BUS-5225</t>
  </si>
  <si>
    <t>DRV-541</t>
  </si>
  <si>
    <t>BUS-1094</t>
  </si>
  <si>
    <t>BUS-3674</t>
  </si>
  <si>
    <t>DRV-499</t>
  </si>
  <si>
    <t>BUS-7898</t>
  </si>
  <si>
    <t>DRV-826</t>
  </si>
  <si>
    <t>BUS-1793</t>
  </si>
  <si>
    <t>BUS-3116</t>
  </si>
  <si>
    <t>DRV-888</t>
  </si>
  <si>
    <t>BUS-6779</t>
  </si>
  <si>
    <t>DRV-675</t>
  </si>
  <si>
    <t>BUS-7166</t>
  </si>
  <si>
    <t>DRV-957</t>
  </si>
  <si>
    <t>BUS-1814</t>
  </si>
  <si>
    <t>DRV-903</t>
  </si>
  <si>
    <t>BUS-1345</t>
  </si>
  <si>
    <t>BUS-9554</t>
  </si>
  <si>
    <t>BUS-3443</t>
  </si>
  <si>
    <t>BUS-8783</t>
  </si>
  <si>
    <t>DRV-569</t>
  </si>
  <si>
    <t>BUS-1984</t>
  </si>
  <si>
    <t>BUS-8790</t>
  </si>
  <si>
    <t>DRV-943</t>
  </si>
  <si>
    <t>BUS-1827</t>
  </si>
  <si>
    <t>DRV-781</t>
  </si>
  <si>
    <t>BUS-4531</t>
  </si>
  <si>
    <t>BUS-8147</t>
  </si>
  <si>
    <t>BUS-5451</t>
  </si>
  <si>
    <t>DRV-366</t>
  </si>
  <si>
    <t>BUS-4876</t>
  </si>
  <si>
    <t>DRV-153</t>
  </si>
  <si>
    <t>BUS-6959</t>
  </si>
  <si>
    <t>BUS-1126</t>
  </si>
  <si>
    <t>DRV-619</t>
  </si>
  <si>
    <t>BUS-9795</t>
  </si>
  <si>
    <t>BUS-7024</t>
  </si>
  <si>
    <t>BUS-6109</t>
  </si>
  <si>
    <t>BUS-5146</t>
  </si>
  <si>
    <t>DRV-336</t>
  </si>
  <si>
    <t>BUS-8196</t>
  </si>
  <si>
    <t>DRV-485</t>
  </si>
  <si>
    <t>BUS-4368</t>
  </si>
  <si>
    <t>BUS-4797</t>
  </si>
  <si>
    <t>DRV-833</t>
  </si>
  <si>
    <t>BUS-2792</t>
  </si>
  <si>
    <t>BUS-6732</t>
  </si>
  <si>
    <t>BUS-4476</t>
  </si>
  <si>
    <t>DRV-399</t>
  </si>
  <si>
    <t>BUS-4417</t>
  </si>
  <si>
    <t>DRV-494</t>
  </si>
  <si>
    <t>BUS-2645</t>
  </si>
  <si>
    <t>BUS-4030</t>
  </si>
  <si>
    <t>BUS-3872</t>
  </si>
  <si>
    <t>DRV-692</t>
  </si>
  <si>
    <t>DRV-829</t>
  </si>
  <si>
    <t>BUS-2854</t>
  </si>
  <si>
    <t>DRV-613</t>
  </si>
  <si>
    <t>BUS-5021</t>
  </si>
  <si>
    <t>DRV-277</t>
  </si>
  <si>
    <t>BUS-5662</t>
  </si>
  <si>
    <t>DRV-495</t>
  </si>
  <si>
    <t>BUS-7514</t>
  </si>
  <si>
    <t>DRV-470</t>
  </si>
  <si>
    <t>BUS-6031</t>
  </si>
  <si>
    <t>BUS-3708</t>
  </si>
  <si>
    <t>DRV-890</t>
  </si>
  <si>
    <t>BUS-8112</t>
  </si>
  <si>
    <t>BUS-9393</t>
  </si>
  <si>
    <t>DRV-417</t>
  </si>
  <si>
    <t>BUS-4507</t>
  </si>
  <si>
    <t>BUS-7456</t>
  </si>
  <si>
    <t>BUS-5212</t>
  </si>
  <si>
    <t>BUS-8970</t>
  </si>
  <si>
    <t>BUS-9766</t>
  </si>
  <si>
    <t>DRV-905</t>
  </si>
  <si>
    <t>BUS-1536</t>
  </si>
  <si>
    <t>BUS-2625</t>
  </si>
  <si>
    <t>BUS-8973</t>
  </si>
  <si>
    <t>BUS-9577</t>
  </si>
  <si>
    <t>DRV-777</t>
  </si>
  <si>
    <t>BUS-9070</t>
  </si>
  <si>
    <t>DRV-321</t>
  </si>
  <si>
    <t>BUS-9666</t>
  </si>
  <si>
    <t>BUS-9609</t>
  </si>
  <si>
    <t>BUS-7490</t>
  </si>
  <si>
    <t>BUS-4600</t>
  </si>
  <si>
    <t>DRV-255</t>
  </si>
  <si>
    <t>BUS-7783</t>
  </si>
  <si>
    <t>DRV-477</t>
  </si>
  <si>
    <t>BUS-5971</t>
  </si>
  <si>
    <t>BUS-2205</t>
  </si>
  <si>
    <t>DRV-880</t>
  </si>
  <si>
    <t>BUS-2990</t>
  </si>
  <si>
    <t>DRV-967</t>
  </si>
  <si>
    <t>BUS-6299</t>
  </si>
  <si>
    <t>DRV-889</t>
  </si>
  <si>
    <t>BUS-4572</t>
  </si>
  <si>
    <t>DRV-685</t>
  </si>
  <si>
    <t>BUS-6975</t>
  </si>
  <si>
    <t>DRV-536</t>
  </si>
  <si>
    <t>BUS-7320</t>
  </si>
  <si>
    <t>BUS-5380</t>
  </si>
  <si>
    <t>DRV-487</t>
  </si>
  <si>
    <t>BUS-5757</t>
  </si>
  <si>
    <t>BUS-3713</t>
  </si>
  <si>
    <t>DRV-986</t>
  </si>
  <si>
    <t>BUS-1966</t>
  </si>
  <si>
    <t>DRV-937</t>
  </si>
  <si>
    <t>BUS-5944</t>
  </si>
  <si>
    <t>DRV-439</t>
  </si>
  <si>
    <t>BUS-4432</t>
  </si>
  <si>
    <t>BUS-1688</t>
  </si>
  <si>
    <t>BUS-5243</t>
  </si>
  <si>
    <t>DRV-303</t>
  </si>
  <si>
    <t>BUS-4701</t>
  </si>
  <si>
    <t>BUS-9533</t>
  </si>
  <si>
    <t>BUS-6182</t>
  </si>
  <si>
    <t>DRV-491</t>
  </si>
  <si>
    <t>BUS-7704</t>
  </si>
  <si>
    <t>DRV-868</t>
  </si>
  <si>
    <t>BUS-5422</t>
  </si>
  <si>
    <t>BUS-2759</t>
  </si>
  <si>
    <t>BUS-3482</t>
  </si>
  <si>
    <t>BUS-9058</t>
  </si>
  <si>
    <t>DRV-169</t>
  </si>
  <si>
    <t>BUS-1951</t>
  </si>
  <si>
    <t>DRV-992</t>
  </si>
  <si>
    <t>BUS-9914</t>
  </si>
  <si>
    <t>DRV-504</t>
  </si>
  <si>
    <t>BUS-3079</t>
  </si>
  <si>
    <t>DRV-707</t>
  </si>
  <si>
    <t>BUS-3717</t>
  </si>
  <si>
    <t>DRV-774</t>
  </si>
  <si>
    <t>BUS-5524</t>
  </si>
  <si>
    <t>DRV-690</t>
  </si>
  <si>
    <t>BUS-9477</t>
  </si>
  <si>
    <t>DRV-616</t>
  </si>
  <si>
    <t>BUS-8311</t>
  </si>
  <si>
    <t>DRV-927</t>
  </si>
  <si>
    <t>BUS-8186</t>
  </si>
  <si>
    <t>DRV-219</t>
  </si>
  <si>
    <t>BUS-3065</t>
  </si>
  <si>
    <t>BUS-1768</t>
  </si>
  <si>
    <t>DRV-789</t>
  </si>
  <si>
    <t>BUS-6490</t>
  </si>
  <si>
    <t>DRV-787</t>
  </si>
  <si>
    <t>BUS-7645</t>
  </si>
  <si>
    <t>DRV-316</t>
  </si>
  <si>
    <t>BUS-6083</t>
  </si>
  <si>
    <t>DRV-155</t>
  </si>
  <si>
    <t>BUS-6232</t>
  </si>
  <si>
    <t>BUS-6797</t>
  </si>
  <si>
    <t>DRV-798</t>
  </si>
  <si>
    <t>BUS-5926</t>
  </si>
  <si>
    <t>BUS-7016</t>
  </si>
  <si>
    <t>DRV-843</t>
  </si>
  <si>
    <t>Row Labels</t>
  </si>
  <si>
    <t>Grand Total</t>
  </si>
  <si>
    <t>Sum of Ticket_Revenue</t>
  </si>
  <si>
    <t>Total Pasengers</t>
  </si>
  <si>
    <t>Total Revenue($)</t>
  </si>
  <si>
    <t>Avg Delay(Mins)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</si>
</sst>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[Smart_Public_Transport_Dataset.xlsx]Sheet1!PivotTable1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Route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Route A (Downtown - Airport)</c:v>
                </c:pt>
                <c:pt idx="1">
                  <c:v>Route B (Saddar - Gulberg)</c:v>
                </c:pt>
                <c:pt idx="2">
                  <c:v>Route C (Johar Town - Mall Road)</c:v>
                </c:pt>
                <c:pt idx="3">
                  <c:v>Route D (Clifton - DHA)</c:v>
                </c:pt>
                <c:pt idx="4">
                  <c:v>Route E (Metro Hub - Industrial Area)</c:v>
                </c:pt>
              </c:strCache>
            </c:strRef>
          </c:cat>
          <c:val>
            <c:numRef>
              <c:f>Sheet1!$B$4:$B$9</c:f>
              <c:numCache>
                <c:formatCode>General</c:formatCode>
                <c:ptCount val="5"/>
                <c:pt idx="0">
                  <c:v>53260</c:v>
                </c:pt>
                <c:pt idx="1">
                  <c:v>66080</c:v>
                </c:pt>
                <c:pt idx="2">
                  <c:v>38020</c:v>
                </c:pt>
                <c:pt idx="3">
                  <c:v>85160</c:v>
                </c:pt>
                <c:pt idx="4">
                  <c:v>25280</c:v>
                </c:pt>
              </c:numCache>
            </c:numRef>
          </c:val>
          <c:extLst>
            <c:ext xmlns:c16="http://schemas.microsoft.com/office/drawing/2014/chart" uri="{C3380CC4-5D6E-409C-BE32-E72D297353CC}">
              <c16:uniqueId val="{00000000-894A-4DFD-807C-C92A309D6ADB}"/>
            </c:ext>
          </c:extLst>
        </c:ser>
        <c:dLbls>
          <c:showLegendKey val="0"/>
          <c:showVal val="0"/>
          <c:showCatName val="0"/>
          <c:showSerName val="0"/>
          <c:showPercent val="0"/>
          <c:showBubbleSize val="0"/>
        </c:dLbls>
        <c:gapWidth val="182"/>
        <c:axId val="575652543"/>
        <c:axId val="1510351551"/>
      </c:barChart>
      <c:catAx>
        <c:axId val="57565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10351551"/>
        <c:crosses val="autoZero"/>
        <c:auto val="1"/>
        <c:lblAlgn val="ctr"/>
        <c:lblOffset val="100"/>
        <c:noMultiLvlLbl val="0"/>
      </c:catAx>
      <c:valAx>
        <c:axId val="1510351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565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236220</xdr:colOff>
      <xdr:row>11</xdr:row>
      <xdr:rowOff>72390</xdr:rowOff>
    </xdr:from>
    <xdr:to>
      <xdr:col>9</xdr:col>
      <xdr:colOff>541020</xdr:colOff>
      <xdr:row>26</xdr:row>
      <xdr:rowOff>72390</xdr:rowOff>
    </xdr:to>
    <xdr:graphicFrame macro="">
      <xdr:nvGraphicFramePr>
        <xdr:cNvPr id="2" name="Chart 1">
          <a:extLst>
            <a:ext uri="{FF2B5EF4-FFF2-40B4-BE49-F238E27FC236}">
              <a16:creationId xmlns:a16="http://schemas.microsoft.com/office/drawing/2014/main" id="{F2100EFC-01C7-6BC8-8C13-3C0342713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13</xdr:row>
      <xdr:rowOff>60961</xdr:rowOff>
    </xdr:from>
    <xdr:to>
      <xdr:col>2</xdr:col>
      <xdr:colOff>236220</xdr:colOff>
      <xdr:row>24</xdr:row>
      <xdr:rowOff>68581</xdr:rowOff>
    </xdr:to>
    <mc:AlternateContent xmlns:mc="http://schemas.openxmlformats.org/markup-compatibility/2006">
      <mc:Choice xmlns:a14="http://schemas.microsoft.com/office/drawing/2010/main" Requires="a14">
        <xdr:graphicFrame macro="">
          <xdr:nvGraphicFramePr>
            <xdr:cNvPr id="3" name="Bus_Type">
              <a:extLst>
                <a:ext uri="{FF2B5EF4-FFF2-40B4-BE49-F238E27FC236}">
                  <a16:creationId xmlns:a16="http://schemas.microsoft.com/office/drawing/2014/main" id="{AD6DB665-743D-918E-EE1E-8AD4B16EE6F6}"/>
                </a:ext>
              </a:extLst>
            </xdr:cNvPr>
            <xdr:cNvGraphicFramePr/>
          </xdr:nvGraphicFramePr>
          <xdr:xfrm>
            <a:off x="0" y="0"/>
            <a:ext cx="0" cy="0"/>
          </xdr:xfrm>
          <a:graphic>
            <a:graphicData uri="http://schemas.microsoft.com/office/drawing/2010/slicer">
              <sle:slicer xmlns:sle="http://schemas.microsoft.com/office/drawing/2010/slicer" name="Bus_Type"/>
            </a:graphicData>
          </a:graphic>
        </xdr:graphicFrame>
      </mc:Choice>
      <mc:Fallback>
        <xdr:sp macro="" textlink="">
          <xdr:nvSpPr>
            <xdr:cNvPr id="0" name=""/>
            <xdr:cNvSpPr>
              <a:spLocks noTextEdit="1"/>
            </xdr:cNvSpPr>
          </xdr:nvSpPr>
          <xdr:spPr>
            <a:xfrm>
              <a:off x="2202180" y="2438401"/>
              <a:ext cx="1638300" cy="20193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640080</xdr:colOff>
      <xdr:row>13</xdr:row>
      <xdr:rowOff>129541</xdr:rowOff>
    </xdr:from>
    <xdr:to>
      <xdr:col>0</xdr:col>
      <xdr:colOff>2156460</xdr:colOff>
      <xdr:row>24</xdr:row>
      <xdr:rowOff>68581</xdr:rowOff>
    </xdr:to>
    <mc:AlternateContent xmlns:mc="http://schemas.openxmlformats.org/markup-compatibility/2006">
      <mc:Choice xmlns:a14="http://schemas.microsoft.com/office/drawing/2010/main" Requires="a14">
        <xdr:graphicFrame macro="">
          <xdr:nvGraphicFramePr>
            <xdr:cNvPr id="4" name="Trip_Status">
              <a:extLst>
                <a:ext uri="{FF2B5EF4-FFF2-40B4-BE49-F238E27FC236}">
                  <a16:creationId xmlns:a16="http://schemas.microsoft.com/office/drawing/2014/main" id="{7E6824D0-C8B2-247C-F766-D26CCF8D3874}"/>
                </a:ext>
              </a:extLst>
            </xdr:cNvPr>
            <xdr:cNvGraphicFramePr/>
          </xdr:nvGraphicFramePr>
          <xdr:xfrm>
            <a:off x="0" y="0"/>
            <a:ext cx="0" cy="0"/>
          </xdr:xfrm>
          <a:graphic>
            <a:graphicData uri="http://schemas.microsoft.com/office/drawing/2010/slicer">
              <sle:slicer xmlns:sle="http://schemas.microsoft.com/office/drawing/2010/slicer" name="Trip_Status"/>
            </a:graphicData>
          </a:graphic>
        </xdr:graphicFrame>
      </mc:Choice>
      <mc:Fallback>
        <xdr:sp macro="" textlink="">
          <xdr:nvSpPr>
            <xdr:cNvPr id="0" name=""/>
            <xdr:cNvSpPr>
              <a:spLocks noTextEdit="1"/>
            </xdr:cNvSpPr>
          </xdr:nvSpPr>
          <xdr:spPr>
            <a:xfrm>
              <a:off x="640080" y="2506981"/>
              <a:ext cx="1516380" cy="195072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212.944671759258" createdVersion="8" refreshedVersion="8" minRefreshableVersion="3" recordCount="520" xr:uid="{9B00C56B-0D79-494F-B3A2-4A074982FCF7}">
  <cacheSource type="worksheet">
    <worksheetSource ref="A1:N521" sheet="Cleaned_Smart_Public_Transport_"/>
  </cacheSource>
  <cacheFields count="14">
    <cacheField name="Route_ID" numFmtId="0">
      <sharedItems/>
    </cacheField>
    <cacheField name="Route_Name" numFmtId="0">
      <sharedItems count="5">
        <s v="Route D (Clifton - DHA)"/>
        <s v="Route E (Metro Hub - Industrial Area)"/>
        <s v="Route C (Johar Town - Mall Road)"/>
        <s v="Route B (Saddar - Gulberg)"/>
        <s v="Route A (Downtown - Airport)"/>
      </sharedItems>
    </cacheField>
    <cacheField name="Bus_Number" numFmtId="0">
      <sharedItems/>
    </cacheField>
    <cacheField name="Bus_Type" numFmtId="0">
      <sharedItems count="4">
        <s v="Mini Bus"/>
        <s v="Double Decker"/>
        <s v="Articulated Bus"/>
        <s v="Standard Electric"/>
      </sharedItems>
    </cacheField>
    <cacheField name="Date" numFmtId="14">
      <sharedItems containsSemiMixedTypes="0" containsNonDate="0" containsDate="1" containsString="0" minDate="2026-06-01T00:00:00" maxDate="2026-07-01T00:00:00"/>
    </cacheField>
    <cacheField name="Departure_Time" numFmtId="20">
      <sharedItems containsSemiMixedTypes="0" containsNonDate="0" containsDate="1" containsString="0" minDate="1899-12-30T06:00:00" maxDate="1899-12-30T22:45:00"/>
    </cacheField>
    <cacheField name="Delay_Duration_Minutes" numFmtId="0">
      <sharedItems containsSemiMixedTypes="0" containsString="0" containsNumber="1" containsInteger="1" minValue="0" maxValue="64"/>
    </cacheField>
    <cacheField name="Passenger_Count" numFmtId="0">
      <sharedItems containsSemiMixedTypes="0" containsString="0" containsNumber="1" containsInteger="1" minValue="10" maxValue="84"/>
    </cacheField>
    <cacheField name="Ticket_Revenue" numFmtId="0">
      <sharedItems containsSemiMixedTypes="0" containsString="0" containsNumber="1" containsInteger="1" minValue="800" maxValue="10080"/>
    </cacheField>
    <cacheField name="Fuel_Consumption_Liters" numFmtId="0">
      <sharedItems containsSemiMixedTypes="0" containsString="0" containsNumber="1" minValue="15.5" maxValue="44.85"/>
    </cacheField>
    <cacheField name="Driver_ID" numFmtId="0">
      <sharedItems/>
    </cacheField>
    <cacheField name="Weather_Condition" numFmtId="0">
      <sharedItems/>
    </cacheField>
    <cacheField name="Day_Type" numFmtId="0">
      <sharedItems/>
    </cacheField>
    <cacheField name="Trip_Status" numFmtId="0">
      <sharedItems count="3">
        <s v="Delayed"/>
        <s v="On Time"/>
        <s v="Cancelled"/>
      </sharedItems>
    </cacheField>
  </cacheFields>
  <extLst>
    <ext xmlns:x14="http://schemas.microsoft.com/office/spreadsheetml/2009/9/main" uri="{725AE2AE-9491-48be-B2B4-4EB974FC3084}">
      <x14:pivotCacheDefinition pivotCacheId="625620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s v="R-104"/>
    <x v="0"/>
    <s v="BUS-5491"/>
    <x v="0"/>
    <d v="2026-06-28T00:00:00"/>
    <d v="1899-12-30T17:45:00"/>
    <n v="27"/>
    <n v="43"/>
    <n v="3440"/>
    <n v="19.13"/>
    <s v="DRV-518"/>
    <s v="Foggy"/>
    <s v="Weekend"/>
    <x v="0"/>
  </r>
  <r>
    <s v="R-105"/>
    <x v="1"/>
    <s v="BUS-8192"/>
    <x v="1"/>
    <d v="2026-06-15T00:00:00"/>
    <d v="1899-12-30T20:30:00"/>
    <n v="0"/>
    <n v="50"/>
    <n v="5000"/>
    <n v="41.72"/>
    <s v="DRV-855"/>
    <s v="Clear"/>
    <s v="Weekday"/>
    <x v="1"/>
  </r>
  <r>
    <s v="R-103"/>
    <x v="2"/>
    <s v="BUS-6588"/>
    <x v="2"/>
    <d v="2026-06-06T00:00:00"/>
    <d v="1899-12-30T11:45:00"/>
    <n v="0"/>
    <n v="60"/>
    <n v="6000"/>
    <n v="30.34"/>
    <s v="DRV-606"/>
    <s v="Foggy"/>
    <s v="Weekend"/>
    <x v="1"/>
  </r>
  <r>
    <s v="R-105"/>
    <x v="1"/>
    <s v="BUS-8651"/>
    <x v="2"/>
    <d v="2026-06-08T00:00:00"/>
    <d v="1899-12-30T19:15:00"/>
    <n v="0"/>
    <n v="56"/>
    <n v="4480"/>
    <n v="28.76"/>
    <s v="DRV-440"/>
    <s v="Overcast"/>
    <s v="Weekday"/>
    <x v="1"/>
  </r>
  <r>
    <s v="R-105"/>
    <x v="1"/>
    <s v="BUS-4636"/>
    <x v="2"/>
    <d v="2026-06-27T00:00:00"/>
    <d v="1899-12-30T14:30:00"/>
    <n v="19"/>
    <n v="67"/>
    <n v="5360"/>
    <n v="32.78"/>
    <s v="DRV-226"/>
    <s v="Clear"/>
    <s v="Weekend"/>
    <x v="0"/>
  </r>
  <r>
    <s v="R-102"/>
    <x v="3"/>
    <s v="BUS-2167"/>
    <x v="0"/>
    <d v="2026-06-05T00:00:00"/>
    <d v="1899-12-30T10:45:00"/>
    <n v="0"/>
    <n v="84"/>
    <n v="6720"/>
    <n v="33.93"/>
    <s v="DRV-508"/>
    <s v="Rainy"/>
    <s v="Weekday"/>
    <x v="2"/>
  </r>
  <r>
    <s v="R-103"/>
    <x v="2"/>
    <s v="BUS-2062"/>
    <x v="3"/>
    <d v="2026-06-16T00:00:00"/>
    <d v="1899-12-30T06:30:00"/>
    <n v="0"/>
    <n v="66"/>
    <n v="6600"/>
    <n v="17.62"/>
    <s v="DRV-466"/>
    <s v="Rainy"/>
    <s v="Weekday"/>
    <x v="1"/>
  </r>
  <r>
    <s v="R-103"/>
    <x v="2"/>
    <s v="BUS-3156"/>
    <x v="3"/>
    <d v="2026-06-26T00:00:00"/>
    <d v="1899-12-30T08:15:00"/>
    <n v="0"/>
    <n v="32"/>
    <n v="3200"/>
    <n v="35.64"/>
    <s v="DRV-370"/>
    <s v="Rainy"/>
    <s v="Weekday"/>
    <x v="2"/>
  </r>
  <r>
    <s v="R-103"/>
    <x v="2"/>
    <s v="BUS-8860"/>
    <x v="2"/>
    <d v="2026-06-18T00:00:00"/>
    <d v="1899-12-30T10:00:00"/>
    <n v="56"/>
    <n v="57"/>
    <n v="6840"/>
    <n v="22.64"/>
    <s v="DRV-743"/>
    <s v="Overcast"/>
    <s v="Weekday"/>
    <x v="0"/>
  </r>
  <r>
    <s v="R-105"/>
    <x v="1"/>
    <s v="BUS-6161"/>
    <x v="3"/>
    <d v="2026-06-06T00:00:00"/>
    <d v="1899-12-30T10:00:00"/>
    <n v="0"/>
    <n v="31"/>
    <n v="2480"/>
    <n v="36.56"/>
    <s v="DRV-704"/>
    <s v="Foggy"/>
    <s v="Weekend"/>
    <x v="2"/>
  </r>
  <r>
    <s v="R-104"/>
    <x v="0"/>
    <s v="BUS-6305"/>
    <x v="3"/>
    <d v="2026-06-05T00:00:00"/>
    <d v="1899-12-30T22:30:00"/>
    <n v="0"/>
    <n v="26"/>
    <n v="2600"/>
    <n v="39.76"/>
    <s v="DRV-478"/>
    <s v="Clear"/>
    <s v="Weekday"/>
    <x v="1"/>
  </r>
  <r>
    <s v="R-103"/>
    <x v="2"/>
    <s v="BUS-7541"/>
    <x v="0"/>
    <d v="2026-06-28T00:00:00"/>
    <d v="1899-12-30T19:45:00"/>
    <n v="0"/>
    <n v="78"/>
    <n v="6240"/>
    <n v="39.22"/>
    <s v="DRV-172"/>
    <s v="Rainy"/>
    <s v="Weekend"/>
    <x v="2"/>
  </r>
  <r>
    <s v="R-105"/>
    <x v="1"/>
    <s v="BUS-5729"/>
    <x v="1"/>
    <d v="2026-06-16T00:00:00"/>
    <d v="1899-12-30T15:45:00"/>
    <n v="0"/>
    <n v="20"/>
    <n v="2000"/>
    <n v="31.8"/>
    <s v="DRV-347"/>
    <s v="Clear"/>
    <s v="Weekday"/>
    <x v="1"/>
  </r>
  <r>
    <s v="R-102"/>
    <x v="3"/>
    <s v="BUS-8330"/>
    <x v="2"/>
    <d v="2026-06-13T00:00:00"/>
    <d v="1899-12-30T16:15:00"/>
    <n v="0"/>
    <n v="24"/>
    <n v="1920"/>
    <n v="30.85"/>
    <s v="DRV-959"/>
    <s v="Overcast"/>
    <s v="Weekend"/>
    <x v="1"/>
  </r>
  <r>
    <s v="R-104"/>
    <x v="0"/>
    <s v="BUS-6334"/>
    <x v="2"/>
    <d v="2026-06-28T00:00:00"/>
    <d v="1899-12-30T07:00:00"/>
    <n v="0"/>
    <n v="44"/>
    <n v="4400"/>
    <n v="19.71"/>
    <s v="DRV-884"/>
    <s v="Rainy"/>
    <s v="Weekend"/>
    <x v="2"/>
  </r>
  <r>
    <s v="R-102"/>
    <x v="3"/>
    <s v="BUS-9924"/>
    <x v="0"/>
    <d v="2026-06-05T00:00:00"/>
    <d v="1899-12-30T12:30:00"/>
    <n v="0"/>
    <n v="42"/>
    <n v="5040"/>
    <n v="38.369999999999997"/>
    <s v="DRV-142"/>
    <s v="Overcast"/>
    <s v="Weekday"/>
    <x v="1"/>
  </r>
  <r>
    <s v="R-104"/>
    <x v="0"/>
    <s v="BUS-5330"/>
    <x v="0"/>
    <d v="2026-06-13T00:00:00"/>
    <d v="1899-12-30T20:30:00"/>
    <n v="0"/>
    <n v="25"/>
    <n v="3000"/>
    <n v="23.51"/>
    <s v="DRV-476"/>
    <s v="Foggy"/>
    <s v="Weekend"/>
    <x v="1"/>
  </r>
  <r>
    <s v="R-105"/>
    <x v="1"/>
    <s v="BUS-9010"/>
    <x v="3"/>
    <d v="2026-06-17T00:00:00"/>
    <d v="1899-12-30T17:15:00"/>
    <n v="0"/>
    <n v="43"/>
    <n v="3440"/>
    <n v="30.15"/>
    <s v="DRV-140"/>
    <s v="Overcast"/>
    <s v="Weekday"/>
    <x v="2"/>
  </r>
  <r>
    <s v="R-101"/>
    <x v="4"/>
    <s v="BUS-7801"/>
    <x v="2"/>
    <d v="2026-06-18T00:00:00"/>
    <d v="1899-12-30T18:45:00"/>
    <n v="48"/>
    <n v="75"/>
    <n v="7500"/>
    <n v="23.89"/>
    <s v="DRV-269"/>
    <s v="Overcast"/>
    <s v="Weekday"/>
    <x v="0"/>
  </r>
  <r>
    <s v="R-104"/>
    <x v="0"/>
    <s v="BUS-5846"/>
    <x v="1"/>
    <d v="2026-06-08T00:00:00"/>
    <d v="1899-12-30T21:15:00"/>
    <n v="62"/>
    <n v="49"/>
    <n v="4900"/>
    <n v="19.45"/>
    <s v="DRV-311"/>
    <s v="Foggy"/>
    <s v="Weekday"/>
    <x v="0"/>
  </r>
  <r>
    <s v="R-102"/>
    <x v="3"/>
    <s v="BUS-7731"/>
    <x v="0"/>
    <d v="2026-06-13T00:00:00"/>
    <d v="1899-12-30T15:45:00"/>
    <n v="35"/>
    <n v="37"/>
    <n v="2960"/>
    <n v="34.07"/>
    <s v="DRV-592"/>
    <s v="Clear"/>
    <s v="Weekend"/>
    <x v="0"/>
  </r>
  <r>
    <s v="R-105"/>
    <x v="1"/>
    <s v="BUS-8241"/>
    <x v="1"/>
    <d v="2026-06-30T00:00:00"/>
    <d v="1899-12-30T13:15:00"/>
    <n v="0"/>
    <n v="56"/>
    <n v="5600"/>
    <n v="17.100000000000001"/>
    <s v="DRV-779"/>
    <s v="Foggy"/>
    <s v="Weekday"/>
    <x v="1"/>
  </r>
  <r>
    <s v="R-104"/>
    <x v="0"/>
    <s v="BUS-1953"/>
    <x v="1"/>
    <d v="2026-06-29T00:00:00"/>
    <d v="1899-12-30T06:30:00"/>
    <n v="0"/>
    <n v="48"/>
    <n v="3840"/>
    <n v="37.590000000000003"/>
    <s v="DRV-138"/>
    <s v="Foggy"/>
    <s v="Weekday"/>
    <x v="2"/>
  </r>
  <r>
    <s v="R-101"/>
    <x v="4"/>
    <s v="BUS-3539"/>
    <x v="2"/>
    <d v="2026-06-19T00:00:00"/>
    <d v="1899-12-30T13:00:00"/>
    <n v="0"/>
    <n v="79"/>
    <n v="7900"/>
    <n v="24.87"/>
    <s v="DRV-468"/>
    <s v="Overcast"/>
    <s v="Weekday"/>
    <x v="1"/>
  </r>
  <r>
    <s v="R-101"/>
    <x v="4"/>
    <s v="BUS-8056"/>
    <x v="2"/>
    <d v="2026-06-26T00:00:00"/>
    <d v="1899-12-30T11:00:00"/>
    <n v="0"/>
    <n v="82"/>
    <n v="6560"/>
    <n v="15.5"/>
    <s v="DRV-856"/>
    <s v="Clear"/>
    <s v="Weekday"/>
    <x v="1"/>
  </r>
  <r>
    <s v="R-103"/>
    <x v="2"/>
    <s v="BUS-2542"/>
    <x v="0"/>
    <d v="2026-06-03T00:00:00"/>
    <d v="1899-12-30T20:15:00"/>
    <n v="0"/>
    <n v="29"/>
    <n v="2900"/>
    <n v="30.58"/>
    <s v="DRV-250"/>
    <s v="Rainy"/>
    <s v="Weekday"/>
    <x v="1"/>
  </r>
  <r>
    <s v="R-103"/>
    <x v="2"/>
    <s v="BUS-6293"/>
    <x v="2"/>
    <d v="2026-06-24T00:00:00"/>
    <d v="1899-12-30T20:15:00"/>
    <n v="0"/>
    <n v="10"/>
    <n v="800"/>
    <n v="16.88"/>
    <s v="DRV-210"/>
    <s v="Foggy"/>
    <s v="Weekday"/>
    <x v="1"/>
  </r>
  <r>
    <s v="R-102"/>
    <x v="3"/>
    <s v="BUS-2191"/>
    <x v="2"/>
    <d v="2026-06-08T00:00:00"/>
    <d v="1899-12-30T06:30:00"/>
    <n v="50"/>
    <n v="81"/>
    <n v="8100"/>
    <n v="23.65"/>
    <s v="DRV-579"/>
    <s v="Clear"/>
    <s v="Weekday"/>
    <x v="0"/>
  </r>
  <r>
    <s v="R-104"/>
    <x v="0"/>
    <s v="BUS-7313"/>
    <x v="2"/>
    <d v="2026-06-02T00:00:00"/>
    <d v="1899-12-30T16:15:00"/>
    <n v="0"/>
    <n v="72"/>
    <n v="8640"/>
    <n v="36.36"/>
    <s v="DRV-535"/>
    <s v="Foggy"/>
    <s v="Weekday"/>
    <x v="2"/>
  </r>
  <r>
    <s v="R-104"/>
    <x v="0"/>
    <s v="BUS-7938"/>
    <x v="1"/>
    <d v="2026-06-08T00:00:00"/>
    <d v="1899-12-30T22:15:00"/>
    <n v="0"/>
    <n v="76"/>
    <n v="7600"/>
    <n v="17.350000000000001"/>
    <s v="DRV-146"/>
    <s v="Foggy"/>
    <s v="Weekday"/>
    <x v="1"/>
  </r>
  <r>
    <s v="R-103"/>
    <x v="2"/>
    <s v="BUS-3681"/>
    <x v="0"/>
    <d v="2026-06-27T00:00:00"/>
    <d v="1899-12-30T13:30:00"/>
    <n v="52"/>
    <n v="13"/>
    <n v="1040"/>
    <n v="32.195"/>
    <s v="DRV-674"/>
    <s v="Foggy"/>
    <s v="Weekend"/>
    <x v="0"/>
  </r>
  <r>
    <s v="R-104"/>
    <x v="0"/>
    <s v="BUS-2540"/>
    <x v="3"/>
    <d v="2026-06-13T00:00:00"/>
    <d v="1899-12-30T13:00:00"/>
    <n v="64"/>
    <n v="67"/>
    <n v="8040"/>
    <n v="15.61"/>
    <s v="DRV-836"/>
    <s v="Foggy"/>
    <s v="Weekend"/>
    <x v="0"/>
  </r>
  <r>
    <s v="R-104"/>
    <x v="0"/>
    <s v="BUS-7172"/>
    <x v="1"/>
    <d v="2026-06-13T00:00:00"/>
    <d v="1899-12-30T17:30:00"/>
    <n v="31"/>
    <n v="34"/>
    <n v="3400"/>
    <n v="22.78"/>
    <s v="DRV-465"/>
    <s v="Overcast"/>
    <s v="Weekend"/>
    <x v="0"/>
  </r>
  <r>
    <s v="R-101"/>
    <x v="4"/>
    <s v="BUS-6541"/>
    <x v="2"/>
    <d v="2026-06-01T00:00:00"/>
    <d v="1899-12-30T13:00:00"/>
    <n v="32"/>
    <n v="56"/>
    <n v="6720"/>
    <n v="37.36"/>
    <s v="DRV-168"/>
    <s v="Clear"/>
    <s v="Weekday"/>
    <x v="0"/>
  </r>
  <r>
    <s v="R-103"/>
    <x v="2"/>
    <s v="BUS-2365"/>
    <x v="1"/>
    <d v="2026-06-06T00:00:00"/>
    <d v="1899-12-30T19:45:00"/>
    <n v="63"/>
    <n v="47"/>
    <n v="4700"/>
    <n v="24.83"/>
    <s v="DRV-398"/>
    <s v="Clear"/>
    <s v="Weekend"/>
    <x v="0"/>
  </r>
  <r>
    <s v="R-105"/>
    <x v="1"/>
    <s v="BUS-9691"/>
    <x v="2"/>
    <d v="2026-06-24T00:00:00"/>
    <d v="1899-12-30T06:00:00"/>
    <n v="0"/>
    <n v="24"/>
    <n v="2880"/>
    <n v="18.510000000000002"/>
    <s v="DRV-901"/>
    <s v="Clear"/>
    <s v="Weekday"/>
    <x v="1"/>
  </r>
  <r>
    <s v="R-103"/>
    <x v="2"/>
    <s v="BUS-9702"/>
    <x v="2"/>
    <d v="2026-06-19T00:00:00"/>
    <d v="1899-12-30T21:15:00"/>
    <n v="0"/>
    <n v="72"/>
    <n v="5760"/>
    <n v="26.13"/>
    <s v="DRV-395"/>
    <s v="Foggy"/>
    <s v="Weekday"/>
    <x v="1"/>
  </r>
  <r>
    <s v="R-105"/>
    <x v="1"/>
    <s v="BUS-8494"/>
    <x v="1"/>
    <d v="2026-06-16T00:00:00"/>
    <d v="1899-12-30T21:00:00"/>
    <n v="21"/>
    <n v="30"/>
    <n v="3000"/>
    <n v="23.48"/>
    <s v="DRV-302"/>
    <s v="Overcast"/>
    <s v="Weekday"/>
    <x v="0"/>
  </r>
  <r>
    <s v="R-101"/>
    <x v="4"/>
    <s v="BUS-5312"/>
    <x v="0"/>
    <d v="2026-06-08T00:00:00"/>
    <d v="1899-12-30T14:15:00"/>
    <n v="0"/>
    <n v="66"/>
    <n v="6600"/>
    <n v="40.36"/>
    <s v="DRV-160"/>
    <s v="Foggy"/>
    <s v="Weekday"/>
    <x v="1"/>
  </r>
  <r>
    <s v="R-102"/>
    <x v="3"/>
    <s v="BUS-2324"/>
    <x v="2"/>
    <d v="2026-06-28T00:00:00"/>
    <d v="1899-12-30T07:15:00"/>
    <n v="0"/>
    <n v="62"/>
    <n v="4960"/>
    <n v="24.74"/>
    <s v="DRV-929"/>
    <s v="Foggy"/>
    <s v="Weekend"/>
    <x v="1"/>
  </r>
  <r>
    <s v="R-104"/>
    <x v="0"/>
    <s v="BUS-4141"/>
    <x v="0"/>
    <d v="2026-06-01T00:00:00"/>
    <d v="1899-12-30T11:30:00"/>
    <n v="0"/>
    <n v="55"/>
    <n v="6600"/>
    <n v="38.770000000000003"/>
    <s v="DRV-413"/>
    <s v="Clear"/>
    <s v="Weekday"/>
    <x v="1"/>
  </r>
  <r>
    <s v="R-101"/>
    <x v="4"/>
    <s v="BUS-8419"/>
    <x v="3"/>
    <d v="2026-06-27T00:00:00"/>
    <d v="1899-12-30T14:00:00"/>
    <n v="42"/>
    <n v="23"/>
    <n v="1840"/>
    <n v="41.81"/>
    <s v="DRV-260"/>
    <s v="Foggy"/>
    <s v="Weekend"/>
    <x v="0"/>
  </r>
  <r>
    <s v="R-104"/>
    <x v="0"/>
    <s v="BUS-4486"/>
    <x v="2"/>
    <d v="2026-06-27T00:00:00"/>
    <d v="1899-12-30T14:00:00"/>
    <n v="0"/>
    <n v="26"/>
    <n v="2080"/>
    <n v="28.3"/>
    <s v="DRV-430"/>
    <s v="Rainy"/>
    <s v="Weekend"/>
    <x v="1"/>
  </r>
  <r>
    <s v="R-102"/>
    <x v="3"/>
    <s v="BUS-2810"/>
    <x v="0"/>
    <d v="2026-06-16T00:00:00"/>
    <d v="1899-12-30T21:00:00"/>
    <n v="0"/>
    <n v="48"/>
    <n v="5760"/>
    <n v="42.34"/>
    <s v="DRV-627"/>
    <s v="Foggy"/>
    <s v="Weekday"/>
    <x v="1"/>
  </r>
  <r>
    <s v="R-102"/>
    <x v="3"/>
    <s v="BUS-7588"/>
    <x v="0"/>
    <d v="2026-06-09T00:00:00"/>
    <d v="1899-12-30T14:00:00"/>
    <n v="61"/>
    <n v="18"/>
    <n v="1440"/>
    <n v="26.63"/>
    <s v="DRV-437"/>
    <s v="Rainy"/>
    <s v="Weekday"/>
    <x v="0"/>
  </r>
  <r>
    <s v="R-101"/>
    <x v="4"/>
    <s v="BUS-3923"/>
    <x v="3"/>
    <d v="2026-06-13T00:00:00"/>
    <d v="1899-12-30T18:30:00"/>
    <n v="0"/>
    <n v="15"/>
    <n v="1500"/>
    <n v="43.94"/>
    <s v="DRV-705"/>
    <s v="Foggy"/>
    <s v="Weekend"/>
    <x v="1"/>
  </r>
  <r>
    <s v="R-102"/>
    <x v="3"/>
    <s v="BUS-6301"/>
    <x v="0"/>
    <d v="2026-06-11T00:00:00"/>
    <d v="1899-12-30T14:30:00"/>
    <n v="0"/>
    <n v="32"/>
    <n v="3200"/>
    <n v="18.13"/>
    <s v="DRV-403"/>
    <s v="Overcast"/>
    <s v="Weekday"/>
    <x v="1"/>
  </r>
  <r>
    <s v="R-105"/>
    <x v="1"/>
    <s v="BUS-5186"/>
    <x v="0"/>
    <d v="2026-06-13T00:00:00"/>
    <d v="1899-12-30T09:15:00"/>
    <n v="35"/>
    <n v="68"/>
    <n v="6800"/>
    <n v="35.770000000000003"/>
    <s v="DRV-602"/>
    <s v="Overcast"/>
    <s v="Weekend"/>
    <x v="0"/>
  </r>
  <r>
    <s v="R-102"/>
    <x v="3"/>
    <s v="BUS-9905"/>
    <x v="3"/>
    <d v="2026-06-25T00:00:00"/>
    <d v="1899-12-30T11:15:00"/>
    <n v="44"/>
    <n v="55"/>
    <n v="4400"/>
    <n v="30.07"/>
    <s v="DRV-749"/>
    <s v="Clear"/>
    <s v="Weekday"/>
    <x v="0"/>
  </r>
  <r>
    <s v="R-104"/>
    <x v="0"/>
    <s v="BUS-6977"/>
    <x v="2"/>
    <d v="2026-06-21T00:00:00"/>
    <d v="1899-12-30T09:15:00"/>
    <n v="43"/>
    <n v="47"/>
    <n v="4700"/>
    <n v="26.94"/>
    <s v="DRV-437"/>
    <s v="Foggy"/>
    <s v="Weekend"/>
    <x v="0"/>
  </r>
  <r>
    <s v="R-104"/>
    <x v="0"/>
    <s v="BUS-5268"/>
    <x v="0"/>
    <d v="2026-06-10T00:00:00"/>
    <d v="1899-12-30T11:15:00"/>
    <n v="0"/>
    <n v="23"/>
    <n v="2300"/>
    <n v="34.17"/>
    <s v="DRV-649"/>
    <s v="Rainy"/>
    <s v="Weekday"/>
    <x v="1"/>
  </r>
  <r>
    <s v="R-104"/>
    <x v="0"/>
    <s v="BUS-5748"/>
    <x v="0"/>
    <d v="2026-06-04T00:00:00"/>
    <d v="1899-12-30T18:00:00"/>
    <n v="0"/>
    <n v="81"/>
    <n v="8100"/>
    <n v="36.26"/>
    <s v="DRV-738"/>
    <s v="Rainy"/>
    <s v="Weekday"/>
    <x v="1"/>
  </r>
  <r>
    <s v="R-104"/>
    <x v="0"/>
    <s v="BUS-5849"/>
    <x v="0"/>
    <d v="2026-06-27T00:00:00"/>
    <d v="1899-12-30T18:30:00"/>
    <n v="25"/>
    <n v="71"/>
    <n v="7100"/>
    <n v="15.63"/>
    <s v="DRV-374"/>
    <s v="Foggy"/>
    <s v="Weekend"/>
    <x v="0"/>
  </r>
  <r>
    <s v="R-105"/>
    <x v="1"/>
    <s v="BUS-4709"/>
    <x v="1"/>
    <d v="2026-06-06T00:00:00"/>
    <d v="1899-12-30T06:45:00"/>
    <n v="47"/>
    <n v="44"/>
    <n v="4400"/>
    <n v="20.43"/>
    <s v="DRV-263"/>
    <s v="Rainy"/>
    <s v="Weekend"/>
    <x v="0"/>
  </r>
  <r>
    <s v="R-103"/>
    <x v="2"/>
    <s v="BUS-7619"/>
    <x v="3"/>
    <d v="2026-06-28T00:00:00"/>
    <d v="1899-12-30T12:00:00"/>
    <n v="22"/>
    <n v="28"/>
    <n v="2800"/>
    <n v="36.53"/>
    <s v="DRV-542"/>
    <s v="Overcast"/>
    <s v="Weekend"/>
    <x v="0"/>
  </r>
  <r>
    <s v="R-101"/>
    <x v="4"/>
    <s v="BUS-9647"/>
    <x v="1"/>
    <d v="2026-06-07T00:00:00"/>
    <d v="1899-12-30T20:00:00"/>
    <n v="0"/>
    <n v="39"/>
    <n v="3120"/>
    <n v="35.159999999999997"/>
    <s v="DRV-418"/>
    <s v="Rainy"/>
    <s v="Weekend"/>
    <x v="2"/>
  </r>
  <r>
    <s v="R-104"/>
    <x v="0"/>
    <s v="BUS-4072"/>
    <x v="3"/>
    <d v="2026-06-05T00:00:00"/>
    <d v="1899-12-30T17:15:00"/>
    <n v="63"/>
    <n v="34"/>
    <n v="3400"/>
    <n v="44"/>
    <s v="DRV-688"/>
    <s v="Clear"/>
    <s v="Weekday"/>
    <x v="0"/>
  </r>
  <r>
    <s v="R-102"/>
    <x v="3"/>
    <s v="BUS-7530"/>
    <x v="2"/>
    <d v="2026-06-11T00:00:00"/>
    <d v="1899-12-30T12:30:00"/>
    <n v="0"/>
    <n v="49"/>
    <n v="4900"/>
    <n v="37.950000000000003"/>
    <s v="DRV-603"/>
    <s v="Overcast"/>
    <s v="Weekday"/>
    <x v="1"/>
  </r>
  <r>
    <s v="R-104"/>
    <x v="0"/>
    <s v="BUS-1504"/>
    <x v="2"/>
    <d v="2026-06-13T00:00:00"/>
    <d v="1899-12-30T06:00:00"/>
    <n v="25"/>
    <n v="23"/>
    <n v="2760"/>
    <n v="43.55"/>
    <s v="DRV-785"/>
    <s v="Overcast"/>
    <s v="Weekend"/>
    <x v="0"/>
  </r>
  <r>
    <s v="R-102"/>
    <x v="3"/>
    <s v="BUS-2214"/>
    <x v="0"/>
    <d v="2026-06-26T00:00:00"/>
    <d v="1899-12-30T22:30:00"/>
    <n v="0"/>
    <n v="35"/>
    <n v="2800"/>
    <n v="32.195"/>
    <s v="DRV-486"/>
    <s v="Overcast"/>
    <s v="Weekday"/>
    <x v="2"/>
  </r>
  <r>
    <s v="R-102"/>
    <x v="3"/>
    <s v="BUS-2531"/>
    <x v="3"/>
    <d v="2026-06-25T00:00:00"/>
    <d v="1899-12-30T17:15:00"/>
    <n v="57"/>
    <n v="31"/>
    <n v="2480"/>
    <n v="24.29"/>
    <s v="DRV-969"/>
    <s v="Foggy"/>
    <s v="Weekday"/>
    <x v="0"/>
  </r>
  <r>
    <s v="R-104"/>
    <x v="0"/>
    <s v="BUS-8576"/>
    <x v="2"/>
    <d v="2026-06-19T00:00:00"/>
    <d v="1899-12-30T16:30:00"/>
    <n v="0"/>
    <n v="57"/>
    <n v="4560"/>
    <n v="18.61"/>
    <s v="DRV-932"/>
    <s v="Foggy"/>
    <s v="Weekday"/>
    <x v="1"/>
  </r>
  <r>
    <s v="R-105"/>
    <x v="1"/>
    <s v="BUS-1823"/>
    <x v="3"/>
    <d v="2026-06-23T00:00:00"/>
    <d v="1899-12-30T13:15:00"/>
    <n v="54"/>
    <n v="60"/>
    <n v="4800"/>
    <n v="38.56"/>
    <s v="DRV-987"/>
    <s v="Overcast"/>
    <s v="Weekday"/>
    <x v="0"/>
  </r>
  <r>
    <s v="R-102"/>
    <x v="3"/>
    <s v="BUS-1928"/>
    <x v="2"/>
    <d v="2026-06-10T00:00:00"/>
    <d v="1899-12-30T19:15:00"/>
    <n v="0"/>
    <n v="12"/>
    <n v="1200"/>
    <n v="34.5"/>
    <s v="DRV-702"/>
    <s v="Foggy"/>
    <s v="Weekday"/>
    <x v="2"/>
  </r>
  <r>
    <s v="R-102"/>
    <x v="3"/>
    <s v="BUS-6029"/>
    <x v="1"/>
    <d v="2026-06-10T00:00:00"/>
    <d v="1899-12-30T07:15:00"/>
    <n v="0"/>
    <n v="51"/>
    <n v="5100"/>
    <n v="16.920000000000002"/>
    <s v="DRV-849"/>
    <s v="Rainy"/>
    <s v="Weekday"/>
    <x v="2"/>
  </r>
  <r>
    <s v="R-104"/>
    <x v="0"/>
    <s v="BUS-1133"/>
    <x v="2"/>
    <d v="2026-06-11T00:00:00"/>
    <d v="1899-12-30T14:30:00"/>
    <n v="53"/>
    <n v="28"/>
    <n v="3360"/>
    <n v="26.12"/>
    <s v="DRV-875"/>
    <s v="Foggy"/>
    <s v="Weekday"/>
    <x v="0"/>
  </r>
  <r>
    <s v="R-102"/>
    <x v="3"/>
    <s v="BUS-3105"/>
    <x v="1"/>
    <d v="2026-06-21T00:00:00"/>
    <d v="1899-12-30T13:45:00"/>
    <n v="0"/>
    <n v="82"/>
    <n v="9840"/>
    <n v="43.73"/>
    <s v="DRV-790"/>
    <s v="Foggy"/>
    <s v="Weekend"/>
    <x v="1"/>
  </r>
  <r>
    <s v="R-102"/>
    <x v="3"/>
    <s v="BUS-4627"/>
    <x v="2"/>
    <d v="2026-06-30T00:00:00"/>
    <d v="1899-12-30T07:15:00"/>
    <n v="64"/>
    <n v="37"/>
    <n v="2960"/>
    <n v="30.26"/>
    <s v="DRV-593"/>
    <s v="Overcast"/>
    <s v="Weekday"/>
    <x v="0"/>
  </r>
  <r>
    <s v="R-104"/>
    <x v="0"/>
    <s v="BUS-7316"/>
    <x v="0"/>
    <d v="2026-06-07T00:00:00"/>
    <d v="1899-12-30T17:00:00"/>
    <n v="0"/>
    <n v="54"/>
    <n v="6480"/>
    <n v="28.27"/>
    <s v="DRV-589"/>
    <s v="Clear"/>
    <s v="Weekend"/>
    <x v="2"/>
  </r>
  <r>
    <s v="R-104"/>
    <x v="0"/>
    <s v="BUS-2852"/>
    <x v="1"/>
    <d v="2026-06-18T00:00:00"/>
    <d v="1899-12-30T07:45:00"/>
    <n v="30"/>
    <n v="80"/>
    <n v="9600"/>
    <n v="29"/>
    <s v="DRV-820"/>
    <s v="Clear"/>
    <s v="Weekday"/>
    <x v="0"/>
  </r>
  <r>
    <s v="R-101"/>
    <x v="4"/>
    <s v="BUS-5910"/>
    <x v="2"/>
    <d v="2026-06-04T00:00:00"/>
    <d v="1899-12-30T10:30:00"/>
    <n v="0"/>
    <n v="72"/>
    <n v="5760"/>
    <n v="21.66"/>
    <s v="DRV-172"/>
    <s v="Clear"/>
    <s v="Weekday"/>
    <x v="1"/>
  </r>
  <r>
    <s v="R-105"/>
    <x v="1"/>
    <s v="BUS-5175"/>
    <x v="0"/>
    <d v="2026-06-02T00:00:00"/>
    <d v="1899-12-30T17:45:00"/>
    <n v="0"/>
    <n v="82"/>
    <n v="6560"/>
    <n v="26.38"/>
    <s v="DRV-608"/>
    <s v="Rainy"/>
    <s v="Weekday"/>
    <x v="2"/>
  </r>
  <r>
    <s v="R-105"/>
    <x v="1"/>
    <s v="BUS-6348"/>
    <x v="1"/>
    <d v="2026-06-14T00:00:00"/>
    <d v="1899-12-30T20:30:00"/>
    <n v="30"/>
    <n v="28"/>
    <n v="3360"/>
    <n v="26.41"/>
    <s v="DRV-489"/>
    <s v="Foggy"/>
    <s v="Weekend"/>
    <x v="0"/>
  </r>
  <r>
    <s v="R-102"/>
    <x v="3"/>
    <s v="BUS-7190"/>
    <x v="0"/>
    <d v="2026-06-13T00:00:00"/>
    <d v="1899-12-30T21:30:00"/>
    <n v="0"/>
    <n v="56"/>
    <n v="5600"/>
    <n v="17.04"/>
    <s v="DRV-718"/>
    <s v="Clear"/>
    <s v="Weekend"/>
    <x v="1"/>
  </r>
  <r>
    <s v="R-105"/>
    <x v="1"/>
    <s v="BUS-2256"/>
    <x v="3"/>
    <d v="2026-06-29T00:00:00"/>
    <d v="1899-12-30T11:15:00"/>
    <n v="0"/>
    <n v="23"/>
    <n v="2760"/>
    <n v="38.14"/>
    <s v="DRV-956"/>
    <s v="Overcast"/>
    <s v="Weekday"/>
    <x v="1"/>
  </r>
  <r>
    <s v="R-102"/>
    <x v="3"/>
    <s v="BUS-4376"/>
    <x v="3"/>
    <d v="2026-06-12T00:00:00"/>
    <d v="1899-12-30T17:30:00"/>
    <n v="0"/>
    <n v="47"/>
    <n v="5640"/>
    <n v="27.79"/>
    <s v="DRV-394"/>
    <s v="Clear"/>
    <s v="Weekday"/>
    <x v="2"/>
  </r>
  <r>
    <s v="R-101"/>
    <x v="4"/>
    <s v="BUS-6645"/>
    <x v="1"/>
    <d v="2026-06-07T00:00:00"/>
    <d v="1899-12-30T16:00:00"/>
    <n v="0"/>
    <n v="62"/>
    <n v="6200"/>
    <n v="39.75"/>
    <s v="DRV-468"/>
    <s v="Clear"/>
    <s v="Weekend"/>
    <x v="2"/>
  </r>
  <r>
    <s v="R-104"/>
    <x v="0"/>
    <s v="BUS-4486"/>
    <x v="2"/>
    <d v="2026-06-02T00:00:00"/>
    <d v="1899-12-30T16:30:00"/>
    <n v="32"/>
    <n v="70"/>
    <n v="7000"/>
    <n v="40.590000000000003"/>
    <s v="DRV-895"/>
    <s v="Foggy"/>
    <s v="Weekday"/>
    <x v="0"/>
  </r>
  <r>
    <s v="R-104"/>
    <x v="0"/>
    <s v="BUS-4584"/>
    <x v="1"/>
    <d v="2026-06-13T00:00:00"/>
    <d v="1899-12-30T21:30:00"/>
    <n v="60"/>
    <n v="45"/>
    <n v="3600"/>
    <n v="31.34"/>
    <s v="DRV-964"/>
    <s v="Foggy"/>
    <s v="Weekend"/>
    <x v="0"/>
  </r>
  <r>
    <s v="R-104"/>
    <x v="0"/>
    <s v="BUS-9053"/>
    <x v="0"/>
    <d v="2026-06-14T00:00:00"/>
    <d v="1899-12-30T20:00:00"/>
    <n v="0"/>
    <n v="49"/>
    <n v="3920"/>
    <n v="34.89"/>
    <s v="DRV-793"/>
    <s v="Foggy"/>
    <s v="Weekend"/>
    <x v="2"/>
  </r>
  <r>
    <s v="R-105"/>
    <x v="1"/>
    <s v="BUS-4330"/>
    <x v="2"/>
    <d v="2026-06-27T00:00:00"/>
    <d v="1899-12-30T09:30:00"/>
    <n v="52"/>
    <n v="39"/>
    <n v="4680"/>
    <n v="29.43"/>
    <s v="DRV-648"/>
    <s v="Rainy"/>
    <s v="Weekend"/>
    <x v="0"/>
  </r>
  <r>
    <s v="R-101"/>
    <x v="4"/>
    <s v="BUS-3703"/>
    <x v="3"/>
    <d v="2026-06-17T00:00:00"/>
    <d v="1899-12-30T20:45:00"/>
    <n v="52"/>
    <n v="18"/>
    <n v="1800"/>
    <n v="41.46"/>
    <s v="DRV-748"/>
    <s v="Rainy"/>
    <s v="Weekday"/>
    <x v="0"/>
  </r>
  <r>
    <s v="R-105"/>
    <x v="1"/>
    <s v="BUS-9662"/>
    <x v="2"/>
    <d v="2026-06-09T00:00:00"/>
    <d v="1899-12-30T18:15:00"/>
    <n v="0"/>
    <n v="73"/>
    <n v="5840"/>
    <n v="21.86"/>
    <s v="DRV-949"/>
    <s v="Clear"/>
    <s v="Weekday"/>
    <x v="2"/>
  </r>
  <r>
    <s v="R-105"/>
    <x v="1"/>
    <s v="BUS-9120"/>
    <x v="3"/>
    <d v="2026-06-17T00:00:00"/>
    <d v="1899-12-30T07:15:00"/>
    <n v="0"/>
    <n v="42"/>
    <n v="5040"/>
    <n v="35.5"/>
    <s v="DRV-667"/>
    <s v="Foggy"/>
    <s v="Weekday"/>
    <x v="1"/>
  </r>
  <r>
    <s v="R-101"/>
    <x v="4"/>
    <s v="BUS-8114"/>
    <x v="2"/>
    <d v="2026-06-08T00:00:00"/>
    <d v="1899-12-30T09:45:00"/>
    <n v="39"/>
    <n v="61"/>
    <n v="6100"/>
    <n v="33.43"/>
    <s v="DRV-286"/>
    <s v="Clear"/>
    <s v="Weekday"/>
    <x v="0"/>
  </r>
  <r>
    <s v="R-101"/>
    <x v="4"/>
    <s v="BUS-2353"/>
    <x v="2"/>
    <d v="2026-06-02T00:00:00"/>
    <d v="1899-12-30T19:30:00"/>
    <n v="22"/>
    <n v="23"/>
    <n v="2760"/>
    <n v="24.21"/>
    <s v="DRV-952"/>
    <s v="Overcast"/>
    <s v="Weekday"/>
    <x v="0"/>
  </r>
  <r>
    <s v="R-101"/>
    <x v="4"/>
    <s v="BUS-6063"/>
    <x v="2"/>
    <d v="2026-06-28T00:00:00"/>
    <d v="1899-12-30T20:45:00"/>
    <n v="0"/>
    <n v="84"/>
    <n v="6720"/>
    <n v="19.53"/>
    <s v="DRV-869"/>
    <s v="Overcast"/>
    <s v="Weekend"/>
    <x v="1"/>
  </r>
  <r>
    <s v="R-101"/>
    <x v="4"/>
    <s v="BUS-9549"/>
    <x v="0"/>
    <d v="2026-06-24T00:00:00"/>
    <d v="1899-12-30T08:45:00"/>
    <n v="0"/>
    <n v="62"/>
    <n v="4960"/>
    <n v="34.72"/>
    <s v="DRV-544"/>
    <s v="Foggy"/>
    <s v="Weekday"/>
    <x v="2"/>
  </r>
  <r>
    <s v="R-104"/>
    <x v="0"/>
    <s v="BUS-8575"/>
    <x v="0"/>
    <d v="2026-06-13T00:00:00"/>
    <d v="1899-12-30T21:15:00"/>
    <n v="32"/>
    <n v="68"/>
    <n v="6800"/>
    <n v="37.29"/>
    <s v="DRV-669"/>
    <s v="Foggy"/>
    <s v="Weekend"/>
    <x v="0"/>
  </r>
  <r>
    <s v="R-103"/>
    <x v="2"/>
    <s v="BUS-1667"/>
    <x v="1"/>
    <d v="2026-06-03T00:00:00"/>
    <d v="1899-12-30T09:15:00"/>
    <n v="0"/>
    <n v="50"/>
    <n v="6000"/>
    <n v="24.81"/>
    <s v="DRV-462"/>
    <s v="Overcast"/>
    <s v="Weekday"/>
    <x v="2"/>
  </r>
  <r>
    <s v="R-103"/>
    <x v="2"/>
    <s v="BUS-5468"/>
    <x v="1"/>
    <d v="2026-06-16T00:00:00"/>
    <d v="1899-12-30T07:00:00"/>
    <n v="0"/>
    <n v="77"/>
    <n v="7700"/>
    <n v="34.520000000000003"/>
    <s v="DRV-222"/>
    <s v="Foggy"/>
    <s v="Weekday"/>
    <x v="2"/>
  </r>
  <r>
    <s v="R-101"/>
    <x v="4"/>
    <s v="BUS-7819"/>
    <x v="3"/>
    <d v="2026-06-06T00:00:00"/>
    <d v="1899-12-30T18:45:00"/>
    <n v="30"/>
    <n v="77"/>
    <n v="6160"/>
    <n v="27.16"/>
    <s v="DRV-287"/>
    <s v="Rainy"/>
    <s v="Weekend"/>
    <x v="0"/>
  </r>
  <r>
    <s v="R-103"/>
    <x v="2"/>
    <s v="BUS-4719"/>
    <x v="0"/>
    <d v="2026-06-19T00:00:00"/>
    <d v="1899-12-30T16:30:00"/>
    <n v="0"/>
    <n v="17"/>
    <n v="1360"/>
    <n v="36.54"/>
    <s v="DRV-841"/>
    <s v="Rainy"/>
    <s v="Weekday"/>
    <x v="1"/>
  </r>
  <r>
    <s v="R-103"/>
    <x v="2"/>
    <s v="BUS-3745"/>
    <x v="3"/>
    <d v="2026-06-30T00:00:00"/>
    <d v="1899-12-30T17:15:00"/>
    <n v="0"/>
    <n v="11"/>
    <n v="1320"/>
    <n v="21.38"/>
    <s v="DRV-779"/>
    <s v="Foggy"/>
    <s v="Weekday"/>
    <x v="2"/>
  </r>
  <r>
    <s v="R-101"/>
    <x v="4"/>
    <s v="BUS-8483"/>
    <x v="1"/>
    <d v="2026-06-07T00:00:00"/>
    <d v="1899-12-30T12:00:00"/>
    <n v="0"/>
    <n v="50"/>
    <n v="6000"/>
    <n v="41.76"/>
    <s v="DRV-519"/>
    <s v="Overcast"/>
    <s v="Weekend"/>
    <x v="1"/>
  </r>
  <r>
    <s v="R-103"/>
    <x v="2"/>
    <s v="BUS-1539"/>
    <x v="3"/>
    <d v="2026-06-10T00:00:00"/>
    <d v="1899-12-30T12:30:00"/>
    <n v="0"/>
    <n v="64"/>
    <n v="7680"/>
    <n v="23.98"/>
    <s v="DRV-725"/>
    <s v="Clear"/>
    <s v="Weekday"/>
    <x v="1"/>
  </r>
  <r>
    <s v="R-105"/>
    <x v="1"/>
    <s v="BUS-5964"/>
    <x v="1"/>
    <d v="2026-06-09T00:00:00"/>
    <d v="1899-12-30T22:15:00"/>
    <n v="53"/>
    <n v="25"/>
    <n v="2500"/>
    <n v="26.35"/>
    <s v="DRV-351"/>
    <s v="Foggy"/>
    <s v="Weekday"/>
    <x v="0"/>
  </r>
  <r>
    <s v="R-102"/>
    <x v="3"/>
    <s v="BUS-5835"/>
    <x v="0"/>
    <d v="2026-06-02T00:00:00"/>
    <d v="1899-12-30T15:45:00"/>
    <n v="27"/>
    <n v="71"/>
    <n v="8520"/>
    <n v="17.21"/>
    <s v="DRV-718"/>
    <s v="Foggy"/>
    <s v="Weekday"/>
    <x v="0"/>
  </r>
  <r>
    <s v="R-102"/>
    <x v="3"/>
    <s v="BUS-4775"/>
    <x v="2"/>
    <d v="2026-06-28T00:00:00"/>
    <d v="1899-12-30T09:45:00"/>
    <n v="33"/>
    <n v="57"/>
    <n v="6840"/>
    <n v="18.79"/>
    <s v="DRV-648"/>
    <s v="Clear"/>
    <s v="Weekend"/>
    <x v="0"/>
  </r>
  <r>
    <s v="R-101"/>
    <x v="4"/>
    <s v="BUS-7042"/>
    <x v="0"/>
    <d v="2026-06-28T00:00:00"/>
    <d v="1899-12-30T09:15:00"/>
    <n v="60"/>
    <n v="39"/>
    <n v="3120"/>
    <n v="30.72"/>
    <s v="DRV-434"/>
    <s v="Foggy"/>
    <s v="Weekend"/>
    <x v="0"/>
  </r>
  <r>
    <s v="R-104"/>
    <x v="0"/>
    <s v="BUS-8102"/>
    <x v="3"/>
    <d v="2026-06-15T00:00:00"/>
    <d v="1899-12-30T12:15:00"/>
    <n v="0"/>
    <n v="21"/>
    <n v="1680"/>
    <n v="23.39"/>
    <s v="DRV-191"/>
    <s v="Clear"/>
    <s v="Weekday"/>
    <x v="1"/>
  </r>
  <r>
    <s v="R-101"/>
    <x v="4"/>
    <s v="BUS-8312"/>
    <x v="3"/>
    <d v="2026-06-30T00:00:00"/>
    <d v="1899-12-30T06:45:00"/>
    <n v="0"/>
    <n v="44"/>
    <n v="5280"/>
    <n v="40.15"/>
    <s v="DRV-629"/>
    <s v="Overcast"/>
    <s v="Weekday"/>
    <x v="0"/>
  </r>
  <r>
    <s v="R-104"/>
    <x v="0"/>
    <s v="BUS-6320"/>
    <x v="0"/>
    <d v="2026-06-05T00:00:00"/>
    <d v="1899-12-30T18:15:00"/>
    <n v="0"/>
    <n v="20"/>
    <n v="2400"/>
    <n v="15.93"/>
    <s v="DRV-965"/>
    <s v="Rainy"/>
    <s v="Weekday"/>
    <x v="2"/>
  </r>
  <r>
    <s v="R-102"/>
    <x v="3"/>
    <s v="BUS-7132"/>
    <x v="0"/>
    <d v="2026-06-29T00:00:00"/>
    <d v="1899-12-30T20:30:00"/>
    <n v="51"/>
    <n v="73"/>
    <n v="5840"/>
    <n v="26.68"/>
    <s v="DRV-162"/>
    <s v="Overcast"/>
    <s v="Weekday"/>
    <x v="0"/>
  </r>
  <r>
    <s v="R-101"/>
    <x v="4"/>
    <s v="BUS-8891"/>
    <x v="1"/>
    <d v="2026-06-22T00:00:00"/>
    <d v="1899-12-30T18:30:00"/>
    <n v="16"/>
    <n v="59"/>
    <n v="7080"/>
    <n v="25.45"/>
    <s v="DRV-761"/>
    <s v="Rainy"/>
    <s v="Weekday"/>
    <x v="0"/>
  </r>
  <r>
    <s v="R-105"/>
    <x v="1"/>
    <s v="BUS-3779"/>
    <x v="3"/>
    <d v="2026-06-04T00:00:00"/>
    <d v="1899-12-30T14:15:00"/>
    <n v="59"/>
    <n v="30"/>
    <n v="3000"/>
    <n v="16.07"/>
    <s v="DRV-611"/>
    <s v="Clear"/>
    <s v="Weekday"/>
    <x v="0"/>
  </r>
  <r>
    <s v="R-103"/>
    <x v="2"/>
    <s v="BUS-1924"/>
    <x v="3"/>
    <d v="2026-06-20T00:00:00"/>
    <d v="1899-12-30T14:30:00"/>
    <n v="0"/>
    <n v="78"/>
    <n v="7800"/>
    <n v="19.170000000000002"/>
    <s v="DRV-238"/>
    <s v="Rainy"/>
    <s v="Weekend"/>
    <x v="1"/>
  </r>
  <r>
    <s v="R-104"/>
    <x v="0"/>
    <s v="BUS-2581"/>
    <x v="0"/>
    <d v="2026-06-04T00:00:00"/>
    <d v="1899-12-30T15:45:00"/>
    <n v="29"/>
    <n v="57"/>
    <n v="5700"/>
    <n v="27.7"/>
    <s v="DRV-797"/>
    <s v="Overcast"/>
    <s v="Weekday"/>
    <x v="0"/>
  </r>
  <r>
    <s v="R-103"/>
    <x v="2"/>
    <s v="BUS-8714"/>
    <x v="2"/>
    <d v="2026-06-18T00:00:00"/>
    <d v="1899-12-30T15:45:00"/>
    <n v="36"/>
    <n v="29"/>
    <n v="3480"/>
    <n v="30.04"/>
    <s v="DRV-284"/>
    <s v="Rainy"/>
    <s v="Weekday"/>
    <x v="0"/>
  </r>
  <r>
    <s v="R-103"/>
    <x v="2"/>
    <s v="BUS-4324"/>
    <x v="3"/>
    <d v="2026-06-04T00:00:00"/>
    <d v="1899-12-30T21:00:00"/>
    <n v="15"/>
    <n v="76"/>
    <n v="6080"/>
    <n v="27.43"/>
    <s v="DRV-304"/>
    <s v="Clear"/>
    <s v="Weekday"/>
    <x v="0"/>
  </r>
  <r>
    <s v="R-101"/>
    <x v="4"/>
    <s v="BUS-6713"/>
    <x v="2"/>
    <d v="2026-06-27T00:00:00"/>
    <d v="1899-12-30T10:45:00"/>
    <n v="0"/>
    <n v="53"/>
    <n v="6360"/>
    <n v="31.16"/>
    <s v="DRV-871"/>
    <s v="Rainy"/>
    <s v="Weekend"/>
    <x v="1"/>
  </r>
  <r>
    <s v="R-103"/>
    <x v="2"/>
    <s v="BUS-8026"/>
    <x v="0"/>
    <d v="2026-06-17T00:00:00"/>
    <d v="1899-12-30T09:45:00"/>
    <n v="18"/>
    <n v="42"/>
    <n v="5040"/>
    <n v="33.06"/>
    <s v="DRV-313"/>
    <s v="Foggy"/>
    <s v="Weekday"/>
    <x v="0"/>
  </r>
  <r>
    <s v="R-105"/>
    <x v="1"/>
    <s v="BUS-1255"/>
    <x v="0"/>
    <d v="2026-06-12T00:00:00"/>
    <d v="1899-12-30T12:15:00"/>
    <n v="0"/>
    <n v="82"/>
    <n v="6560"/>
    <n v="15.79"/>
    <s v="DRV-355"/>
    <s v="Overcast"/>
    <s v="Weekday"/>
    <x v="2"/>
  </r>
  <r>
    <s v="R-103"/>
    <x v="2"/>
    <s v="BUS-5804"/>
    <x v="1"/>
    <d v="2026-06-22T00:00:00"/>
    <d v="1899-12-30T09:15:00"/>
    <n v="0"/>
    <n v="70"/>
    <n v="5600"/>
    <n v="29.19"/>
    <s v="DRV-234"/>
    <s v="Foggy"/>
    <s v="Weekday"/>
    <x v="1"/>
  </r>
  <r>
    <s v="R-101"/>
    <x v="4"/>
    <s v="BUS-2838"/>
    <x v="3"/>
    <d v="2026-06-17T00:00:00"/>
    <d v="1899-12-30T06:30:00"/>
    <n v="0"/>
    <n v="18"/>
    <n v="1440"/>
    <n v="43.92"/>
    <s v="DRV-672"/>
    <s v="Clear"/>
    <s v="Weekday"/>
    <x v="1"/>
  </r>
  <r>
    <s v="R-105"/>
    <x v="1"/>
    <s v="BUS-1009"/>
    <x v="2"/>
    <d v="2026-06-10T00:00:00"/>
    <d v="1899-12-30T10:30:00"/>
    <n v="0"/>
    <n v="77"/>
    <n v="7700"/>
    <n v="30.81"/>
    <s v="DRV-974"/>
    <s v="Rainy"/>
    <s v="Weekday"/>
    <x v="2"/>
  </r>
  <r>
    <s v="R-102"/>
    <x v="3"/>
    <s v="BUS-3871"/>
    <x v="1"/>
    <d v="2026-06-22T00:00:00"/>
    <d v="1899-12-30T22:30:00"/>
    <n v="35"/>
    <n v="44"/>
    <n v="5280"/>
    <n v="35.49"/>
    <s v="DRV-921"/>
    <s v="Foggy"/>
    <s v="Weekday"/>
    <x v="0"/>
  </r>
  <r>
    <s v="R-103"/>
    <x v="2"/>
    <s v="BUS-9989"/>
    <x v="3"/>
    <d v="2026-06-01T00:00:00"/>
    <d v="1899-12-30T17:15:00"/>
    <n v="49"/>
    <n v="74"/>
    <n v="5920"/>
    <n v="24.7"/>
    <s v="DRV-187"/>
    <s v="Foggy"/>
    <s v="Weekday"/>
    <x v="0"/>
  </r>
  <r>
    <s v="R-101"/>
    <x v="4"/>
    <s v="BUS-8409"/>
    <x v="1"/>
    <d v="2026-06-22T00:00:00"/>
    <d v="1899-12-30T06:30:00"/>
    <n v="57"/>
    <n v="17"/>
    <n v="2040"/>
    <n v="38.33"/>
    <s v="DRV-935"/>
    <s v="Rainy"/>
    <s v="Weekday"/>
    <x v="0"/>
  </r>
  <r>
    <s v="R-102"/>
    <x v="3"/>
    <s v="BUS-8418"/>
    <x v="0"/>
    <d v="2026-06-26T00:00:00"/>
    <d v="1899-12-30T22:15:00"/>
    <n v="0"/>
    <n v="54"/>
    <n v="5400"/>
    <n v="38.299999999999997"/>
    <s v="DRV-306"/>
    <s v="Rainy"/>
    <s v="Weekday"/>
    <x v="2"/>
  </r>
  <r>
    <s v="R-102"/>
    <x v="3"/>
    <s v="BUS-6124"/>
    <x v="3"/>
    <d v="2026-06-24T00:00:00"/>
    <d v="1899-12-30T21:00:00"/>
    <n v="0"/>
    <n v="56"/>
    <n v="5600"/>
    <n v="30.88"/>
    <s v="DRV-228"/>
    <s v="Overcast"/>
    <s v="Weekday"/>
    <x v="2"/>
  </r>
  <r>
    <s v="R-104"/>
    <x v="0"/>
    <s v="BUS-2015"/>
    <x v="1"/>
    <d v="2026-06-27T00:00:00"/>
    <d v="1899-12-30T20:30:00"/>
    <n v="0"/>
    <n v="49"/>
    <n v="3920"/>
    <n v="44.29"/>
    <s v="DRV-922"/>
    <s v="Foggy"/>
    <s v="Weekend"/>
    <x v="2"/>
  </r>
  <r>
    <s v="R-105"/>
    <x v="1"/>
    <s v="BUS-3193"/>
    <x v="1"/>
    <d v="2026-06-18T00:00:00"/>
    <d v="1899-12-30T12:45:00"/>
    <n v="0"/>
    <n v="63"/>
    <n v="5040"/>
    <n v="19.2"/>
    <s v="DRV-102"/>
    <s v="Foggy"/>
    <s v="Weekday"/>
    <x v="1"/>
  </r>
  <r>
    <s v="R-103"/>
    <x v="2"/>
    <s v="BUS-9415"/>
    <x v="2"/>
    <d v="2026-06-18T00:00:00"/>
    <d v="1899-12-30T16:15:00"/>
    <n v="0"/>
    <n v="55"/>
    <n v="6600"/>
    <n v="16"/>
    <s v="DRV-853"/>
    <s v="Clear"/>
    <s v="Weekday"/>
    <x v="1"/>
  </r>
  <r>
    <s v="R-101"/>
    <x v="4"/>
    <s v="BUS-8449"/>
    <x v="1"/>
    <d v="2026-06-14T00:00:00"/>
    <d v="1899-12-30T14:15:00"/>
    <n v="46"/>
    <n v="56"/>
    <n v="4480"/>
    <n v="38.22"/>
    <s v="DRV-220"/>
    <s v="Overcast"/>
    <s v="Weekend"/>
    <x v="0"/>
  </r>
  <r>
    <s v="R-104"/>
    <x v="0"/>
    <s v="BUS-5158"/>
    <x v="3"/>
    <d v="2026-06-15T00:00:00"/>
    <d v="1899-12-30T18:00:00"/>
    <n v="63"/>
    <n v="24"/>
    <n v="2880"/>
    <n v="39.31"/>
    <s v="DRV-484"/>
    <s v="Clear"/>
    <s v="Weekday"/>
    <x v="0"/>
  </r>
  <r>
    <s v="R-105"/>
    <x v="1"/>
    <s v="BUS-4925"/>
    <x v="3"/>
    <d v="2026-06-29T00:00:00"/>
    <d v="1899-12-30T07:45:00"/>
    <n v="62"/>
    <n v="28"/>
    <n v="2240"/>
    <n v="19.05"/>
    <s v="DRV-713"/>
    <s v="Foggy"/>
    <s v="Weekday"/>
    <x v="0"/>
  </r>
  <r>
    <s v="R-104"/>
    <x v="0"/>
    <s v="BUS-7970"/>
    <x v="2"/>
    <d v="2026-06-12T00:00:00"/>
    <d v="1899-12-30T08:30:00"/>
    <n v="0"/>
    <n v="35"/>
    <n v="4200"/>
    <n v="23.33"/>
    <s v="DRV-137"/>
    <s v="Clear"/>
    <s v="Weekday"/>
    <x v="1"/>
  </r>
  <r>
    <s v="R-105"/>
    <x v="1"/>
    <s v="BUS-7938"/>
    <x v="3"/>
    <d v="2026-06-04T00:00:00"/>
    <d v="1899-12-30T08:15:00"/>
    <n v="0"/>
    <n v="61"/>
    <n v="7320"/>
    <n v="16.02"/>
    <s v="DRV-440"/>
    <s v="Foggy"/>
    <s v="Weekday"/>
    <x v="1"/>
  </r>
  <r>
    <s v="R-105"/>
    <x v="1"/>
    <s v="BUS-5784"/>
    <x v="0"/>
    <d v="2026-06-27T00:00:00"/>
    <d v="1899-12-30T12:00:00"/>
    <n v="0"/>
    <n v="31"/>
    <n v="3720"/>
    <n v="24.15"/>
    <s v="DRV-744"/>
    <s v="Foggy"/>
    <s v="Weekend"/>
    <x v="2"/>
  </r>
  <r>
    <s v="R-103"/>
    <x v="2"/>
    <s v="BUS-5000"/>
    <x v="3"/>
    <d v="2026-06-03T00:00:00"/>
    <d v="1899-12-30T22:30:00"/>
    <n v="0"/>
    <n v="30"/>
    <n v="3600"/>
    <n v="38.31"/>
    <s v="DRV-813"/>
    <s v="Clear"/>
    <s v="Weekday"/>
    <x v="1"/>
  </r>
  <r>
    <s v="R-105"/>
    <x v="1"/>
    <s v="BUS-2633"/>
    <x v="3"/>
    <d v="2026-06-20T00:00:00"/>
    <d v="1899-12-30T12:45:00"/>
    <n v="0"/>
    <n v="60"/>
    <n v="6000"/>
    <n v="30.78"/>
    <s v="DRV-959"/>
    <s v="Clear"/>
    <s v="Weekend"/>
    <x v="2"/>
  </r>
  <r>
    <s v="R-104"/>
    <x v="0"/>
    <s v="BUS-8266"/>
    <x v="1"/>
    <d v="2026-06-29T00:00:00"/>
    <d v="1899-12-30T19:30:00"/>
    <n v="0"/>
    <n v="47"/>
    <n v="5640"/>
    <n v="25.77"/>
    <s v="DRV-120"/>
    <s v="Rainy"/>
    <s v="Weekday"/>
    <x v="1"/>
  </r>
  <r>
    <s v="R-105"/>
    <x v="1"/>
    <s v="BUS-9702"/>
    <x v="1"/>
    <d v="2026-06-12T00:00:00"/>
    <d v="1899-12-30T09:15:00"/>
    <n v="0"/>
    <n v="29"/>
    <n v="2320"/>
    <n v="26.47"/>
    <s v="DRV-341"/>
    <s v="Rainy"/>
    <s v="Weekday"/>
    <x v="1"/>
  </r>
  <r>
    <s v="R-103"/>
    <x v="2"/>
    <s v="BUS-1384"/>
    <x v="3"/>
    <d v="2026-06-07T00:00:00"/>
    <d v="1899-12-30T11:15:00"/>
    <n v="0"/>
    <n v="38"/>
    <n v="3800"/>
    <n v="15.54"/>
    <s v="DRV-554"/>
    <s v="Rainy"/>
    <s v="Weekend"/>
    <x v="1"/>
  </r>
  <r>
    <s v="R-103"/>
    <x v="2"/>
    <s v="BUS-1404"/>
    <x v="2"/>
    <d v="2026-06-29T00:00:00"/>
    <d v="1899-12-30T12:00:00"/>
    <n v="0"/>
    <n v="60"/>
    <n v="6000"/>
    <n v="24.34"/>
    <s v="DRV-720"/>
    <s v="Foggy"/>
    <s v="Weekday"/>
    <x v="2"/>
  </r>
  <r>
    <s v="R-104"/>
    <x v="0"/>
    <s v="BUS-9175"/>
    <x v="1"/>
    <d v="2026-06-11T00:00:00"/>
    <d v="1899-12-30T19:45:00"/>
    <n v="0"/>
    <n v="13"/>
    <n v="1560"/>
    <n v="34.57"/>
    <s v="DRV-402"/>
    <s v="Clear"/>
    <s v="Weekday"/>
    <x v="1"/>
  </r>
  <r>
    <s v="R-102"/>
    <x v="3"/>
    <s v="BUS-3000"/>
    <x v="2"/>
    <d v="2026-06-01T00:00:00"/>
    <d v="1899-12-30T13:00:00"/>
    <n v="47"/>
    <n v="64"/>
    <n v="6400"/>
    <n v="44.24"/>
    <s v="DRV-695"/>
    <s v="Overcast"/>
    <s v="Weekday"/>
    <x v="0"/>
  </r>
  <r>
    <s v="R-102"/>
    <x v="3"/>
    <s v="BUS-6989"/>
    <x v="3"/>
    <d v="2026-06-06T00:00:00"/>
    <d v="1899-12-30T06:45:00"/>
    <n v="15"/>
    <n v="80"/>
    <n v="9600"/>
    <n v="40.49"/>
    <s v="DRV-694"/>
    <s v="Foggy"/>
    <s v="Weekend"/>
    <x v="0"/>
  </r>
  <r>
    <s v="R-105"/>
    <x v="1"/>
    <s v="BUS-2460"/>
    <x v="3"/>
    <d v="2026-06-15T00:00:00"/>
    <d v="1899-12-30T08:00:00"/>
    <n v="0"/>
    <n v="37"/>
    <n v="2960"/>
    <n v="16.2"/>
    <s v="DRV-902"/>
    <s v="Overcast"/>
    <s v="Weekday"/>
    <x v="2"/>
  </r>
  <r>
    <s v="R-101"/>
    <x v="4"/>
    <s v="BUS-8190"/>
    <x v="0"/>
    <d v="2026-06-15T00:00:00"/>
    <d v="1899-12-30T13:00:00"/>
    <n v="0"/>
    <n v="13"/>
    <n v="1560"/>
    <n v="42.01"/>
    <s v="DRV-168"/>
    <s v="Clear"/>
    <s v="Weekday"/>
    <x v="1"/>
  </r>
  <r>
    <s v="R-105"/>
    <x v="1"/>
    <s v="BUS-8140"/>
    <x v="1"/>
    <d v="2026-06-19T00:00:00"/>
    <d v="1899-12-30T11:00:00"/>
    <n v="0"/>
    <n v="31"/>
    <n v="3100"/>
    <n v="38.6"/>
    <s v="DRV-228"/>
    <s v="Foggy"/>
    <s v="Weekday"/>
    <x v="1"/>
  </r>
  <r>
    <s v="R-104"/>
    <x v="0"/>
    <s v="BUS-4636"/>
    <x v="3"/>
    <d v="2026-06-11T00:00:00"/>
    <d v="1899-12-30T12:45:00"/>
    <n v="0"/>
    <n v="54"/>
    <n v="4320"/>
    <n v="38.520000000000003"/>
    <s v="DRV-295"/>
    <s v="Overcast"/>
    <s v="Weekday"/>
    <x v="1"/>
  </r>
  <r>
    <s v="R-104"/>
    <x v="0"/>
    <s v="BUS-5809"/>
    <x v="0"/>
    <d v="2026-06-26T00:00:00"/>
    <d v="1899-12-30T18:00:00"/>
    <n v="49"/>
    <n v="76"/>
    <n v="9120"/>
    <n v="29.01"/>
    <s v="DRV-239"/>
    <s v="Overcast"/>
    <s v="Weekday"/>
    <x v="0"/>
  </r>
  <r>
    <s v="R-104"/>
    <x v="0"/>
    <s v="BUS-5178"/>
    <x v="1"/>
    <d v="2026-06-23T00:00:00"/>
    <d v="1899-12-30T07:45:00"/>
    <n v="0"/>
    <n v="75"/>
    <n v="6000"/>
    <n v="27.24"/>
    <s v="DRV-543"/>
    <s v="Rainy"/>
    <s v="Weekday"/>
    <x v="1"/>
  </r>
  <r>
    <s v="R-104"/>
    <x v="0"/>
    <s v="BUS-8245"/>
    <x v="3"/>
    <d v="2026-06-26T00:00:00"/>
    <d v="1899-12-30T10:45:00"/>
    <n v="0"/>
    <n v="43"/>
    <n v="3440"/>
    <n v="24.44"/>
    <s v="DRV-382"/>
    <s v="Rainy"/>
    <s v="Weekday"/>
    <x v="1"/>
  </r>
  <r>
    <s v="R-104"/>
    <x v="0"/>
    <s v="BUS-7600"/>
    <x v="3"/>
    <d v="2026-06-02T00:00:00"/>
    <d v="1899-12-30T13:15:00"/>
    <n v="62"/>
    <n v="64"/>
    <n v="6400"/>
    <n v="17.440000000000001"/>
    <s v="DRV-411"/>
    <s v="Rainy"/>
    <s v="Weekday"/>
    <x v="0"/>
  </r>
  <r>
    <s v="R-103"/>
    <x v="2"/>
    <s v="BUS-6997"/>
    <x v="1"/>
    <d v="2026-06-14T00:00:00"/>
    <d v="1899-12-30T13:15:00"/>
    <n v="0"/>
    <n v="10"/>
    <n v="800"/>
    <n v="22.23"/>
    <s v="DRV-845"/>
    <s v="Foggy"/>
    <s v="Weekend"/>
    <x v="2"/>
  </r>
  <r>
    <s v="R-102"/>
    <x v="3"/>
    <s v="BUS-3048"/>
    <x v="1"/>
    <d v="2026-06-02T00:00:00"/>
    <d v="1899-12-30T08:15:00"/>
    <n v="0"/>
    <n v="81"/>
    <n v="8100"/>
    <n v="22.77"/>
    <s v="DRV-634"/>
    <s v="Clear"/>
    <s v="Weekday"/>
    <x v="2"/>
  </r>
  <r>
    <s v="R-104"/>
    <x v="0"/>
    <s v="BUS-5780"/>
    <x v="1"/>
    <d v="2026-06-29T00:00:00"/>
    <d v="1899-12-30T17:00:00"/>
    <n v="33"/>
    <n v="47"/>
    <n v="3760"/>
    <n v="29.78"/>
    <s v="DRV-764"/>
    <s v="Clear"/>
    <s v="Weekday"/>
    <x v="0"/>
  </r>
  <r>
    <s v="R-101"/>
    <x v="4"/>
    <s v="BUS-1716"/>
    <x v="3"/>
    <d v="2026-06-04T00:00:00"/>
    <d v="1899-12-30T08:15:00"/>
    <n v="28"/>
    <n v="15"/>
    <n v="1800"/>
    <n v="37.549999999999997"/>
    <s v="DRV-376"/>
    <s v="Rainy"/>
    <s v="Weekday"/>
    <x v="0"/>
  </r>
  <r>
    <s v="R-101"/>
    <x v="4"/>
    <s v="BUS-8939"/>
    <x v="3"/>
    <d v="2026-06-17T00:00:00"/>
    <d v="1899-12-30T11:15:00"/>
    <n v="0"/>
    <n v="34"/>
    <n v="2720"/>
    <n v="29.48"/>
    <s v="DRV-160"/>
    <s v="Rainy"/>
    <s v="Weekday"/>
    <x v="1"/>
  </r>
  <r>
    <s v="R-101"/>
    <x v="4"/>
    <s v="BUS-6565"/>
    <x v="0"/>
    <d v="2026-06-03T00:00:00"/>
    <d v="1899-12-30T17:15:00"/>
    <n v="0"/>
    <n v="26"/>
    <n v="3120"/>
    <n v="17.21"/>
    <s v="DRV-418"/>
    <s v="Rainy"/>
    <s v="Weekday"/>
    <x v="2"/>
  </r>
  <r>
    <s v="R-101"/>
    <x v="4"/>
    <s v="BUS-5544"/>
    <x v="2"/>
    <d v="2026-06-13T00:00:00"/>
    <d v="1899-12-30T11:00:00"/>
    <n v="61"/>
    <n v="70"/>
    <n v="8400"/>
    <n v="43.75"/>
    <s v="DRV-989"/>
    <s v="Overcast"/>
    <s v="Weekend"/>
    <x v="0"/>
  </r>
  <r>
    <s v="R-103"/>
    <x v="2"/>
    <s v="BUS-5976"/>
    <x v="1"/>
    <d v="2026-06-09T00:00:00"/>
    <d v="1899-12-30T08:15:00"/>
    <n v="33"/>
    <n v="21"/>
    <n v="1680"/>
    <n v="31.34"/>
    <s v="DRV-151"/>
    <s v="Rainy"/>
    <s v="Weekday"/>
    <x v="0"/>
  </r>
  <r>
    <s v="R-101"/>
    <x v="4"/>
    <s v="BUS-4419"/>
    <x v="3"/>
    <d v="2026-06-07T00:00:00"/>
    <d v="1899-12-30T13:15:00"/>
    <n v="54"/>
    <n v="15"/>
    <n v="1800"/>
    <n v="38.659999999999997"/>
    <s v="DRV-955"/>
    <s v="Overcast"/>
    <s v="Weekend"/>
    <x v="0"/>
  </r>
  <r>
    <s v="R-104"/>
    <x v="0"/>
    <s v="BUS-8239"/>
    <x v="3"/>
    <d v="2026-06-15T00:00:00"/>
    <d v="1899-12-30T17:15:00"/>
    <n v="44"/>
    <n v="36"/>
    <n v="2880"/>
    <n v="30.105"/>
    <s v="DRV-252"/>
    <s v="Clear"/>
    <s v="Weekday"/>
    <x v="0"/>
  </r>
  <r>
    <s v="R-105"/>
    <x v="1"/>
    <s v="BUS-1249"/>
    <x v="1"/>
    <d v="2026-06-23T00:00:00"/>
    <d v="1899-12-30T09:00:00"/>
    <n v="0"/>
    <n v="17"/>
    <n v="1360"/>
    <n v="31.56"/>
    <s v="DRV-848"/>
    <s v="Foggy"/>
    <s v="Weekday"/>
    <x v="1"/>
  </r>
  <r>
    <s v="R-101"/>
    <x v="4"/>
    <s v="BUS-9865"/>
    <x v="2"/>
    <d v="2026-06-29T00:00:00"/>
    <d v="1899-12-30T18:00:00"/>
    <n v="0"/>
    <n v="74"/>
    <n v="8880"/>
    <n v="43.9"/>
    <s v="DRV-410"/>
    <s v="Foggy"/>
    <s v="Weekday"/>
    <x v="2"/>
  </r>
  <r>
    <s v="R-103"/>
    <x v="2"/>
    <s v="BUS-1770"/>
    <x v="1"/>
    <d v="2026-06-29T00:00:00"/>
    <d v="1899-12-30T20:00:00"/>
    <n v="0"/>
    <n v="66"/>
    <n v="7920"/>
    <n v="17.73"/>
    <s v="DRV-913"/>
    <s v="Foggy"/>
    <s v="Weekday"/>
    <x v="1"/>
  </r>
  <r>
    <s v="R-103"/>
    <x v="2"/>
    <s v="BUS-5363"/>
    <x v="2"/>
    <d v="2026-06-11T00:00:00"/>
    <d v="1899-12-30T21:15:00"/>
    <n v="54"/>
    <n v="49"/>
    <n v="4900"/>
    <n v="26.29"/>
    <s v="DRV-643"/>
    <s v="Foggy"/>
    <s v="Weekday"/>
    <x v="0"/>
  </r>
  <r>
    <s v="R-101"/>
    <x v="4"/>
    <s v="BUS-2077"/>
    <x v="3"/>
    <d v="2026-06-20T00:00:00"/>
    <d v="1899-12-30T21:45:00"/>
    <n v="0"/>
    <n v="23"/>
    <n v="2760"/>
    <n v="22.15"/>
    <s v="DRV-666"/>
    <s v="Overcast"/>
    <s v="Weekend"/>
    <x v="1"/>
  </r>
  <r>
    <s v="R-105"/>
    <x v="1"/>
    <s v="BUS-9427"/>
    <x v="2"/>
    <d v="2026-06-02T00:00:00"/>
    <d v="1899-12-30T22:45:00"/>
    <n v="0"/>
    <n v="44"/>
    <n v="4400"/>
    <n v="21.28"/>
    <s v="DRV-963"/>
    <s v="Overcast"/>
    <s v="Weekday"/>
    <x v="1"/>
  </r>
  <r>
    <s v="R-101"/>
    <x v="4"/>
    <s v="BUS-9580"/>
    <x v="0"/>
    <d v="2026-06-15T00:00:00"/>
    <d v="1899-12-30T17:45:00"/>
    <n v="43"/>
    <n v="57"/>
    <n v="6840"/>
    <n v="19.649999999999999"/>
    <s v="DRV-488"/>
    <s v="Rainy"/>
    <s v="Weekday"/>
    <x v="0"/>
  </r>
  <r>
    <s v="R-103"/>
    <x v="2"/>
    <s v="BUS-8901"/>
    <x v="3"/>
    <d v="2026-06-14T00:00:00"/>
    <d v="1899-12-30T08:45:00"/>
    <n v="0"/>
    <n v="65"/>
    <n v="5200"/>
    <n v="33.86"/>
    <s v="DRV-647"/>
    <s v="Overcast"/>
    <s v="Weekend"/>
    <x v="1"/>
  </r>
  <r>
    <s v="R-102"/>
    <x v="3"/>
    <s v="BUS-5858"/>
    <x v="0"/>
    <d v="2026-06-20T00:00:00"/>
    <d v="1899-12-30T18:30:00"/>
    <n v="0"/>
    <n v="58"/>
    <n v="6960"/>
    <n v="38.549999999999997"/>
    <s v="DRV-721"/>
    <s v="Rainy"/>
    <s v="Weekend"/>
    <x v="1"/>
  </r>
  <r>
    <s v="R-104"/>
    <x v="0"/>
    <s v="BUS-7544"/>
    <x v="1"/>
    <d v="2026-06-22T00:00:00"/>
    <d v="1899-12-30T13:15:00"/>
    <n v="0"/>
    <n v="22"/>
    <n v="1760"/>
    <n v="32.56"/>
    <s v="DRV-276"/>
    <s v="Rainy"/>
    <s v="Weekday"/>
    <x v="1"/>
  </r>
  <r>
    <s v="R-103"/>
    <x v="2"/>
    <s v="BUS-5719"/>
    <x v="1"/>
    <d v="2026-06-11T00:00:00"/>
    <d v="1899-12-30T10:45:00"/>
    <n v="38"/>
    <n v="70"/>
    <n v="5600"/>
    <n v="19.84"/>
    <s v="DRV-461"/>
    <s v="Foggy"/>
    <s v="Weekday"/>
    <x v="0"/>
  </r>
  <r>
    <s v="R-101"/>
    <x v="4"/>
    <s v="BUS-3814"/>
    <x v="1"/>
    <d v="2026-06-27T00:00:00"/>
    <d v="1899-12-30T13:45:00"/>
    <n v="0"/>
    <n v="58"/>
    <n v="4640"/>
    <n v="39.43"/>
    <s v="DRV-413"/>
    <s v="Overcast"/>
    <s v="Weekend"/>
    <x v="1"/>
  </r>
  <r>
    <s v="R-104"/>
    <x v="0"/>
    <s v="BUS-4374"/>
    <x v="2"/>
    <d v="2026-06-03T00:00:00"/>
    <d v="1899-12-30T17:00:00"/>
    <n v="0"/>
    <n v="55"/>
    <n v="5500"/>
    <n v="34.26"/>
    <s v="DRV-906"/>
    <s v="Overcast"/>
    <s v="Weekday"/>
    <x v="1"/>
  </r>
  <r>
    <s v="R-101"/>
    <x v="4"/>
    <s v="BUS-2252"/>
    <x v="3"/>
    <d v="2026-06-17T00:00:00"/>
    <d v="1899-12-30T11:15:00"/>
    <n v="0"/>
    <n v="71"/>
    <n v="8520"/>
    <n v="26.95"/>
    <s v="DRV-947"/>
    <s v="Rainy"/>
    <s v="Weekday"/>
    <x v="1"/>
  </r>
  <r>
    <s v="R-101"/>
    <x v="4"/>
    <s v="BUS-7996"/>
    <x v="1"/>
    <d v="2026-06-30T00:00:00"/>
    <d v="1899-12-30T13:30:00"/>
    <n v="0"/>
    <n v="17"/>
    <n v="1360"/>
    <n v="35.39"/>
    <s v="DRV-196"/>
    <s v="Rainy"/>
    <s v="Weekday"/>
    <x v="1"/>
  </r>
  <r>
    <s v="R-102"/>
    <x v="3"/>
    <s v="BUS-5673"/>
    <x v="1"/>
    <d v="2026-06-12T00:00:00"/>
    <d v="1899-12-30T06:00:00"/>
    <n v="25"/>
    <n v="52"/>
    <n v="4160"/>
    <n v="23.17"/>
    <s v="DRV-980"/>
    <s v="Clear"/>
    <s v="Weekday"/>
    <x v="0"/>
  </r>
  <r>
    <s v="R-104"/>
    <x v="0"/>
    <s v="BUS-5530"/>
    <x v="3"/>
    <d v="2026-06-24T00:00:00"/>
    <d v="1899-12-30T21:45:00"/>
    <n v="63"/>
    <n v="29"/>
    <n v="2900"/>
    <n v="25.68"/>
    <s v="DRV-312"/>
    <s v="Clear"/>
    <s v="Weekday"/>
    <x v="0"/>
  </r>
  <r>
    <s v="R-104"/>
    <x v="0"/>
    <s v="BUS-7881"/>
    <x v="1"/>
    <d v="2026-06-28T00:00:00"/>
    <d v="1899-12-30T11:45:00"/>
    <n v="0"/>
    <n v="48"/>
    <n v="5760"/>
    <n v="42.57"/>
    <s v="DRV-928"/>
    <s v="Rainy"/>
    <s v="Weekend"/>
    <x v="1"/>
  </r>
  <r>
    <s v="R-102"/>
    <x v="3"/>
    <s v="BUS-7949"/>
    <x v="0"/>
    <d v="2026-06-29T00:00:00"/>
    <d v="1899-12-30T07:00:00"/>
    <n v="0"/>
    <n v="58"/>
    <n v="6960"/>
    <n v="24.07"/>
    <s v="DRV-236"/>
    <s v="Clear"/>
    <s v="Weekday"/>
    <x v="2"/>
  </r>
  <r>
    <s v="R-103"/>
    <x v="2"/>
    <s v="BUS-7241"/>
    <x v="3"/>
    <d v="2026-06-21T00:00:00"/>
    <d v="1899-12-30T19:45:00"/>
    <n v="10"/>
    <n v="73"/>
    <n v="7300"/>
    <n v="29.36"/>
    <s v="DRV-105"/>
    <s v="Clear"/>
    <s v="Weekend"/>
    <x v="0"/>
  </r>
  <r>
    <s v="R-101"/>
    <x v="4"/>
    <s v="BUS-9017"/>
    <x v="3"/>
    <d v="2026-06-15T00:00:00"/>
    <d v="1899-12-30T06:30:00"/>
    <n v="0"/>
    <n v="71"/>
    <n v="7100"/>
    <n v="41.76"/>
    <s v="DRV-208"/>
    <s v="Rainy"/>
    <s v="Weekday"/>
    <x v="0"/>
  </r>
  <r>
    <s v="R-105"/>
    <x v="1"/>
    <s v="BUS-7941"/>
    <x v="3"/>
    <d v="2026-06-16T00:00:00"/>
    <d v="1899-12-30T18:15:00"/>
    <n v="0"/>
    <n v="63"/>
    <n v="7560"/>
    <n v="36.380000000000003"/>
    <s v="DRV-646"/>
    <s v="Rainy"/>
    <s v="Weekday"/>
    <x v="2"/>
  </r>
  <r>
    <s v="R-101"/>
    <x v="4"/>
    <s v="BUS-8002"/>
    <x v="0"/>
    <d v="2026-06-05T00:00:00"/>
    <d v="1899-12-30T14:00:00"/>
    <n v="0"/>
    <n v="18"/>
    <n v="1800"/>
    <n v="17.329999999999998"/>
    <s v="DRV-138"/>
    <s v="Overcast"/>
    <s v="Weekday"/>
    <x v="2"/>
  </r>
  <r>
    <s v="R-101"/>
    <x v="4"/>
    <s v="BUS-2331"/>
    <x v="3"/>
    <d v="2026-06-27T00:00:00"/>
    <d v="1899-12-30T07:30:00"/>
    <n v="0"/>
    <n v="46"/>
    <n v="5520"/>
    <n v="19.850000000000001"/>
    <s v="DRV-761"/>
    <s v="Rainy"/>
    <s v="Weekend"/>
    <x v="2"/>
  </r>
  <r>
    <s v="R-103"/>
    <x v="2"/>
    <s v="BUS-5261"/>
    <x v="0"/>
    <d v="2026-06-20T00:00:00"/>
    <d v="1899-12-30T14:00:00"/>
    <n v="25"/>
    <n v="58"/>
    <n v="6960"/>
    <n v="15.73"/>
    <s v="DRV-524"/>
    <s v="Rainy"/>
    <s v="Weekend"/>
    <x v="0"/>
  </r>
  <r>
    <s v="R-101"/>
    <x v="4"/>
    <s v="BUS-8648"/>
    <x v="3"/>
    <d v="2026-06-06T00:00:00"/>
    <d v="1899-12-30T16:30:00"/>
    <n v="0"/>
    <n v="50"/>
    <n v="4000"/>
    <n v="34.11"/>
    <s v="DRV-729"/>
    <s v="Foggy"/>
    <s v="Weekend"/>
    <x v="1"/>
  </r>
  <r>
    <s v="R-102"/>
    <x v="3"/>
    <s v="BUS-6115"/>
    <x v="2"/>
    <d v="2026-06-19T00:00:00"/>
    <d v="1899-12-30T09:15:00"/>
    <n v="49"/>
    <n v="26"/>
    <n v="2080"/>
    <n v="28.71"/>
    <s v="DRV-360"/>
    <s v="Overcast"/>
    <s v="Weekday"/>
    <x v="0"/>
  </r>
  <r>
    <s v="R-102"/>
    <x v="3"/>
    <s v="BUS-5637"/>
    <x v="1"/>
    <d v="2026-06-25T00:00:00"/>
    <d v="1899-12-30T11:30:00"/>
    <n v="0"/>
    <n v="30"/>
    <n v="3600"/>
    <n v="19.46"/>
    <s v="DRV-525"/>
    <s v="Overcast"/>
    <s v="Weekday"/>
    <x v="1"/>
  </r>
  <r>
    <s v="R-104"/>
    <x v="0"/>
    <s v="BUS-5854"/>
    <x v="2"/>
    <d v="2026-06-05T00:00:00"/>
    <d v="1899-12-30T16:30:00"/>
    <n v="0"/>
    <n v="60"/>
    <n v="7200"/>
    <n v="43.76"/>
    <s v="DRV-186"/>
    <s v="Overcast"/>
    <s v="Weekday"/>
    <x v="1"/>
  </r>
  <r>
    <s v="R-105"/>
    <x v="1"/>
    <s v="BUS-4177"/>
    <x v="1"/>
    <d v="2026-06-03T00:00:00"/>
    <d v="1899-12-30T10:45:00"/>
    <n v="0"/>
    <n v="68"/>
    <n v="8160"/>
    <n v="31.12"/>
    <s v="DRV-564"/>
    <s v="Foggy"/>
    <s v="Weekday"/>
    <x v="2"/>
  </r>
  <r>
    <s v="R-101"/>
    <x v="4"/>
    <s v="BUS-8730"/>
    <x v="0"/>
    <d v="2026-06-27T00:00:00"/>
    <d v="1899-12-30T15:45:00"/>
    <n v="34"/>
    <n v="48"/>
    <n v="5760"/>
    <n v="22.64"/>
    <s v="DRV-175"/>
    <s v="Rainy"/>
    <s v="Weekend"/>
    <x v="0"/>
  </r>
  <r>
    <s v="R-101"/>
    <x v="4"/>
    <s v="BUS-3180"/>
    <x v="2"/>
    <d v="2026-06-01T00:00:00"/>
    <d v="1899-12-30T20:00:00"/>
    <n v="0"/>
    <n v="64"/>
    <n v="7680"/>
    <n v="30.27"/>
    <s v="DRV-570"/>
    <s v="Overcast"/>
    <s v="Weekday"/>
    <x v="1"/>
  </r>
  <r>
    <s v="R-103"/>
    <x v="2"/>
    <s v="BUS-5892"/>
    <x v="3"/>
    <d v="2026-06-26T00:00:00"/>
    <d v="1899-12-30T15:15:00"/>
    <n v="15"/>
    <n v="50"/>
    <n v="6000"/>
    <n v="35.549999999999997"/>
    <s v="DRV-513"/>
    <s v="Overcast"/>
    <s v="Weekday"/>
    <x v="0"/>
  </r>
  <r>
    <s v="R-102"/>
    <x v="3"/>
    <s v="BUS-8043"/>
    <x v="1"/>
    <d v="2026-06-28T00:00:00"/>
    <d v="1899-12-30T18:30:00"/>
    <n v="0"/>
    <n v="48"/>
    <n v="4800"/>
    <n v="17.75"/>
    <s v="DRV-924"/>
    <s v="Clear"/>
    <s v="Weekend"/>
    <x v="1"/>
  </r>
  <r>
    <s v="R-105"/>
    <x v="1"/>
    <s v="BUS-1137"/>
    <x v="1"/>
    <d v="2026-06-06T00:00:00"/>
    <d v="1899-12-30T15:15:00"/>
    <n v="15"/>
    <n v="22"/>
    <n v="2640"/>
    <n v="23.6"/>
    <s v="DRV-994"/>
    <s v="Overcast"/>
    <s v="Weekend"/>
    <x v="0"/>
  </r>
  <r>
    <s v="R-104"/>
    <x v="0"/>
    <s v="BUS-7327"/>
    <x v="2"/>
    <d v="2026-06-15T00:00:00"/>
    <d v="1899-12-30T19:15:00"/>
    <n v="0"/>
    <n v="73"/>
    <n v="7300"/>
    <n v="39.31"/>
    <s v="DRV-825"/>
    <s v="Rainy"/>
    <s v="Weekday"/>
    <x v="2"/>
  </r>
  <r>
    <s v="R-102"/>
    <x v="3"/>
    <s v="BUS-4472"/>
    <x v="0"/>
    <d v="2026-06-02T00:00:00"/>
    <d v="1899-12-30T08:45:00"/>
    <n v="0"/>
    <n v="20"/>
    <n v="2000"/>
    <n v="29.06"/>
    <s v="DRV-556"/>
    <s v="Rainy"/>
    <s v="Weekday"/>
    <x v="1"/>
  </r>
  <r>
    <s v="R-104"/>
    <x v="0"/>
    <s v="BUS-6449"/>
    <x v="2"/>
    <d v="2026-06-29T00:00:00"/>
    <d v="1899-12-30T12:45:00"/>
    <n v="0"/>
    <n v="28"/>
    <n v="3360"/>
    <n v="31.62"/>
    <s v="DRV-384"/>
    <s v="Clear"/>
    <s v="Weekday"/>
    <x v="2"/>
  </r>
  <r>
    <s v="R-103"/>
    <x v="2"/>
    <s v="BUS-3832"/>
    <x v="0"/>
    <d v="2026-06-03T00:00:00"/>
    <d v="1899-12-30T19:00:00"/>
    <n v="0"/>
    <n v="20"/>
    <n v="2400"/>
    <n v="28.27"/>
    <s v="DRV-338"/>
    <s v="Overcast"/>
    <s v="Weekday"/>
    <x v="1"/>
  </r>
  <r>
    <s v="R-103"/>
    <x v="2"/>
    <s v="BUS-4579"/>
    <x v="0"/>
    <d v="2026-06-17T00:00:00"/>
    <d v="1899-12-30T20:00:00"/>
    <n v="0"/>
    <n v="55"/>
    <n v="5500"/>
    <n v="16.8"/>
    <s v="DRV-776"/>
    <s v="Overcast"/>
    <s v="Weekday"/>
    <x v="1"/>
  </r>
  <r>
    <s v="R-101"/>
    <x v="4"/>
    <s v="BUS-6971"/>
    <x v="1"/>
    <d v="2026-06-25T00:00:00"/>
    <d v="1899-12-30T08:15:00"/>
    <n v="0"/>
    <n v="54"/>
    <n v="5400"/>
    <n v="20.39"/>
    <s v="DRV-698"/>
    <s v="Overcast"/>
    <s v="Weekday"/>
    <x v="1"/>
  </r>
  <r>
    <s v="R-105"/>
    <x v="1"/>
    <s v="BUS-5164"/>
    <x v="2"/>
    <d v="2026-06-24T00:00:00"/>
    <d v="1899-12-30T07:30:00"/>
    <n v="0"/>
    <n v="10"/>
    <n v="1200"/>
    <n v="28.64"/>
    <s v="DRV-752"/>
    <s v="Foggy"/>
    <s v="Weekday"/>
    <x v="1"/>
  </r>
  <r>
    <s v="R-104"/>
    <x v="0"/>
    <s v="BUS-8941"/>
    <x v="2"/>
    <d v="2026-06-12T00:00:00"/>
    <d v="1899-12-30T19:45:00"/>
    <n v="0"/>
    <n v="49"/>
    <n v="5880"/>
    <n v="21.67"/>
    <s v="DRV-771"/>
    <s v="Overcast"/>
    <s v="Weekday"/>
    <x v="1"/>
  </r>
  <r>
    <s v="R-102"/>
    <x v="3"/>
    <s v="BUS-6569"/>
    <x v="0"/>
    <d v="2026-06-18T00:00:00"/>
    <d v="1899-12-30T15:00:00"/>
    <n v="39"/>
    <n v="28"/>
    <n v="2800"/>
    <n v="16.97"/>
    <s v="DRV-657"/>
    <s v="Rainy"/>
    <s v="Weekday"/>
    <x v="0"/>
  </r>
  <r>
    <s v="R-103"/>
    <x v="2"/>
    <s v="BUS-5300"/>
    <x v="2"/>
    <d v="2026-06-15T00:00:00"/>
    <d v="1899-12-30T07:00:00"/>
    <n v="61"/>
    <n v="81"/>
    <n v="8100"/>
    <n v="40.39"/>
    <s v="DRV-471"/>
    <s v="Rainy"/>
    <s v="Weekday"/>
    <x v="0"/>
  </r>
  <r>
    <s v="R-101"/>
    <x v="4"/>
    <s v="BUS-7269"/>
    <x v="3"/>
    <d v="2026-06-12T00:00:00"/>
    <d v="1899-12-30T06:45:00"/>
    <n v="0"/>
    <n v="81"/>
    <n v="8100"/>
    <n v="44.45"/>
    <s v="DRV-594"/>
    <s v="Foggy"/>
    <s v="Weekday"/>
    <x v="1"/>
  </r>
  <r>
    <s v="R-101"/>
    <x v="4"/>
    <s v="BUS-4818"/>
    <x v="3"/>
    <d v="2026-06-16T00:00:00"/>
    <d v="1899-12-30T19:00:00"/>
    <n v="0"/>
    <n v="70"/>
    <n v="5600"/>
    <n v="38.9"/>
    <s v="DRV-723"/>
    <s v="Foggy"/>
    <s v="Weekday"/>
    <x v="1"/>
  </r>
  <r>
    <s v="R-104"/>
    <x v="0"/>
    <s v="BUS-2906"/>
    <x v="2"/>
    <d v="2026-06-27T00:00:00"/>
    <d v="1899-12-30T19:45:00"/>
    <n v="61"/>
    <n v="21"/>
    <n v="2100"/>
    <n v="40.69"/>
    <s v="DRV-144"/>
    <s v="Overcast"/>
    <s v="Weekend"/>
    <x v="0"/>
  </r>
  <r>
    <s v="R-103"/>
    <x v="2"/>
    <s v="BUS-7254"/>
    <x v="2"/>
    <d v="2026-06-08T00:00:00"/>
    <d v="1899-12-30T19:00:00"/>
    <n v="0"/>
    <n v="70"/>
    <n v="5600"/>
    <n v="22.64"/>
    <s v="DRV-500"/>
    <s v="Clear"/>
    <s v="Weekday"/>
    <x v="1"/>
  </r>
  <r>
    <s v="R-105"/>
    <x v="1"/>
    <s v="BUS-1760"/>
    <x v="0"/>
    <d v="2026-06-28T00:00:00"/>
    <d v="1899-12-30T08:30:00"/>
    <n v="0"/>
    <n v="42"/>
    <n v="5040"/>
    <n v="43.84"/>
    <s v="DRV-346"/>
    <s v="Foggy"/>
    <s v="Weekend"/>
    <x v="1"/>
  </r>
  <r>
    <s v="R-103"/>
    <x v="2"/>
    <s v="BUS-8830"/>
    <x v="3"/>
    <d v="2026-06-14T00:00:00"/>
    <d v="1899-12-30T14:15:00"/>
    <n v="0"/>
    <n v="54"/>
    <n v="6480"/>
    <n v="21.31"/>
    <s v="DRV-715"/>
    <s v="Foggy"/>
    <s v="Weekend"/>
    <x v="1"/>
  </r>
  <r>
    <s v="R-104"/>
    <x v="0"/>
    <s v="BUS-8350"/>
    <x v="3"/>
    <d v="2026-06-25T00:00:00"/>
    <d v="1899-12-30T18:00:00"/>
    <n v="13"/>
    <n v="78"/>
    <n v="7800"/>
    <n v="43.57"/>
    <s v="DRV-696"/>
    <s v="Overcast"/>
    <s v="Weekday"/>
    <x v="0"/>
  </r>
  <r>
    <s v="R-104"/>
    <x v="0"/>
    <s v="BUS-7238"/>
    <x v="1"/>
    <d v="2026-06-17T00:00:00"/>
    <d v="1899-12-30T07:45:00"/>
    <n v="0"/>
    <n v="17"/>
    <n v="2040"/>
    <n v="44.85"/>
    <s v="DRV-549"/>
    <s v="Overcast"/>
    <s v="Weekday"/>
    <x v="1"/>
  </r>
  <r>
    <s v="R-103"/>
    <x v="2"/>
    <s v="BUS-7090"/>
    <x v="0"/>
    <d v="2026-06-29T00:00:00"/>
    <d v="1899-12-30T07:45:00"/>
    <n v="0"/>
    <n v="34"/>
    <n v="4080"/>
    <n v="36.5"/>
    <s v="DRV-584"/>
    <s v="Foggy"/>
    <s v="Weekday"/>
    <x v="1"/>
  </r>
  <r>
    <s v="R-104"/>
    <x v="0"/>
    <s v="BUS-7031"/>
    <x v="1"/>
    <d v="2026-06-21T00:00:00"/>
    <d v="1899-12-30T20:45:00"/>
    <n v="0"/>
    <n v="55"/>
    <n v="6600"/>
    <n v="31.34"/>
    <s v="DRV-745"/>
    <s v="Clear"/>
    <s v="Weekend"/>
    <x v="1"/>
  </r>
  <r>
    <s v="R-103"/>
    <x v="2"/>
    <s v="BUS-8687"/>
    <x v="3"/>
    <d v="2026-06-08T00:00:00"/>
    <d v="1899-12-30T18:45:00"/>
    <n v="0"/>
    <n v="39"/>
    <n v="4680"/>
    <n v="32.299999999999997"/>
    <s v="DRV-719"/>
    <s v="Foggy"/>
    <s v="Weekday"/>
    <x v="1"/>
  </r>
  <r>
    <s v="R-102"/>
    <x v="3"/>
    <s v="BUS-9472"/>
    <x v="0"/>
    <d v="2026-06-15T00:00:00"/>
    <d v="1899-12-30T17:45:00"/>
    <n v="35"/>
    <n v="56"/>
    <n v="4480"/>
    <n v="23.16"/>
    <s v="DRV-117"/>
    <s v="Overcast"/>
    <s v="Weekday"/>
    <x v="0"/>
  </r>
  <r>
    <s v="R-103"/>
    <x v="2"/>
    <s v="BUS-2887"/>
    <x v="2"/>
    <d v="2026-06-27T00:00:00"/>
    <d v="1899-12-30T18:30:00"/>
    <n v="0"/>
    <n v="58"/>
    <n v="4640"/>
    <n v="28.39"/>
    <s v="DRV-705"/>
    <s v="Overcast"/>
    <s v="Weekend"/>
    <x v="1"/>
  </r>
  <r>
    <s v="R-103"/>
    <x v="2"/>
    <s v="BUS-4266"/>
    <x v="0"/>
    <d v="2026-06-14T00:00:00"/>
    <d v="1899-12-30T19:45:00"/>
    <n v="0"/>
    <n v="56"/>
    <n v="5600"/>
    <n v="33.01"/>
    <s v="DRV-761"/>
    <s v="Foggy"/>
    <s v="Weekend"/>
    <x v="1"/>
  </r>
  <r>
    <s v="R-104"/>
    <x v="0"/>
    <s v="BUS-1666"/>
    <x v="2"/>
    <d v="2026-06-18T00:00:00"/>
    <d v="1899-12-30T11:45:00"/>
    <n v="25"/>
    <n v="27"/>
    <n v="2700"/>
    <n v="17.66"/>
    <s v="DRV-857"/>
    <s v="Clear"/>
    <s v="Weekday"/>
    <x v="0"/>
  </r>
  <r>
    <s v="R-104"/>
    <x v="0"/>
    <s v="BUS-5188"/>
    <x v="2"/>
    <d v="2026-06-20T00:00:00"/>
    <d v="1899-12-30T16:15:00"/>
    <n v="0"/>
    <n v="75"/>
    <n v="7500"/>
    <n v="33.86"/>
    <s v="DRV-388"/>
    <s v="Foggy"/>
    <s v="Weekend"/>
    <x v="1"/>
  </r>
  <r>
    <s v="R-101"/>
    <x v="4"/>
    <s v="BUS-1671"/>
    <x v="0"/>
    <d v="2026-06-07T00:00:00"/>
    <d v="1899-12-30T07:45:00"/>
    <n v="0"/>
    <n v="77"/>
    <n v="9240"/>
    <n v="44.44"/>
    <s v="DRV-513"/>
    <s v="Foggy"/>
    <s v="Weekend"/>
    <x v="1"/>
  </r>
  <r>
    <s v="R-101"/>
    <x v="4"/>
    <s v="BUS-7777"/>
    <x v="2"/>
    <d v="2026-06-03T00:00:00"/>
    <d v="1899-12-30T10:30:00"/>
    <n v="0"/>
    <n v="42"/>
    <n v="5040"/>
    <n v="21.11"/>
    <s v="DRV-820"/>
    <s v="Overcast"/>
    <s v="Weekday"/>
    <x v="1"/>
  </r>
  <r>
    <s v="R-102"/>
    <x v="3"/>
    <s v="BUS-8570"/>
    <x v="1"/>
    <d v="2026-06-29T00:00:00"/>
    <d v="1899-12-30T07:15:00"/>
    <n v="14"/>
    <n v="45"/>
    <n v="3600"/>
    <n v="38.880000000000003"/>
    <s v="DRV-737"/>
    <s v="Clear"/>
    <s v="Weekday"/>
    <x v="0"/>
  </r>
  <r>
    <s v="R-101"/>
    <x v="4"/>
    <s v="BUS-8956"/>
    <x v="3"/>
    <d v="2026-06-12T00:00:00"/>
    <d v="1899-12-30T07:15:00"/>
    <n v="0"/>
    <n v="28"/>
    <n v="2240"/>
    <n v="42.28"/>
    <s v="DRV-334"/>
    <s v="Rainy"/>
    <s v="Weekday"/>
    <x v="2"/>
  </r>
  <r>
    <s v="R-103"/>
    <x v="2"/>
    <s v="BUS-6124"/>
    <x v="2"/>
    <d v="2026-06-21T00:00:00"/>
    <d v="1899-12-30T16:15:00"/>
    <n v="0"/>
    <n v="37"/>
    <n v="3700"/>
    <n v="43.34"/>
    <s v="DRV-515"/>
    <s v="Clear"/>
    <s v="Weekend"/>
    <x v="1"/>
  </r>
  <r>
    <s v="R-104"/>
    <x v="0"/>
    <s v="BUS-6585"/>
    <x v="1"/>
    <d v="2026-06-24T00:00:00"/>
    <d v="1899-12-30T20:00:00"/>
    <n v="29"/>
    <n v="49"/>
    <n v="3920"/>
    <n v="43.82"/>
    <s v="DRV-598"/>
    <s v="Foggy"/>
    <s v="Weekday"/>
    <x v="0"/>
  </r>
  <r>
    <s v="R-101"/>
    <x v="4"/>
    <s v="BUS-5777"/>
    <x v="2"/>
    <d v="2026-06-28T00:00:00"/>
    <d v="1899-12-30T14:30:00"/>
    <n v="0"/>
    <n v="24"/>
    <n v="1920"/>
    <n v="30.88"/>
    <s v="DRV-733"/>
    <s v="Foggy"/>
    <s v="Weekend"/>
    <x v="1"/>
  </r>
  <r>
    <s v="R-101"/>
    <x v="4"/>
    <s v="BUS-4900"/>
    <x v="3"/>
    <d v="2026-06-26T00:00:00"/>
    <d v="1899-12-30T14:45:00"/>
    <n v="0"/>
    <n v="50"/>
    <n v="4000"/>
    <n v="44.33"/>
    <s v="DRV-749"/>
    <s v="Foggy"/>
    <s v="Weekday"/>
    <x v="1"/>
  </r>
  <r>
    <s v="R-102"/>
    <x v="3"/>
    <s v="BUS-7677"/>
    <x v="1"/>
    <d v="2026-06-03T00:00:00"/>
    <d v="1899-12-30T19:30:00"/>
    <n v="56"/>
    <n v="48"/>
    <n v="3840"/>
    <n v="37.840000000000003"/>
    <s v="DRV-214"/>
    <s v="Clear"/>
    <s v="Weekday"/>
    <x v="0"/>
  </r>
  <r>
    <s v="R-102"/>
    <x v="3"/>
    <s v="BUS-7981"/>
    <x v="3"/>
    <d v="2026-06-20T00:00:00"/>
    <d v="1899-12-30T12:45:00"/>
    <n v="11"/>
    <n v="11"/>
    <n v="880"/>
    <n v="20.27"/>
    <s v="DRV-773"/>
    <s v="Overcast"/>
    <s v="Weekend"/>
    <x v="0"/>
  </r>
  <r>
    <s v="R-103"/>
    <x v="2"/>
    <s v="BUS-7376"/>
    <x v="3"/>
    <d v="2026-06-14T00:00:00"/>
    <d v="1899-12-30T21:45:00"/>
    <n v="0"/>
    <n v="72"/>
    <n v="7200"/>
    <n v="29.57"/>
    <s v="DRV-812"/>
    <s v="Foggy"/>
    <s v="Weekend"/>
    <x v="1"/>
  </r>
  <r>
    <s v="R-104"/>
    <x v="0"/>
    <s v="BUS-1523"/>
    <x v="1"/>
    <d v="2026-06-15T00:00:00"/>
    <d v="1899-12-30T06:45:00"/>
    <n v="22"/>
    <n v="38"/>
    <n v="3800"/>
    <n v="36.69"/>
    <s v="DRV-333"/>
    <s v="Foggy"/>
    <s v="Weekday"/>
    <x v="0"/>
  </r>
  <r>
    <s v="R-102"/>
    <x v="3"/>
    <s v="BUS-3393"/>
    <x v="1"/>
    <d v="2026-06-25T00:00:00"/>
    <d v="1899-12-30T09:30:00"/>
    <n v="0"/>
    <n v="83"/>
    <n v="6640"/>
    <n v="22.8"/>
    <s v="DRV-639"/>
    <s v="Clear"/>
    <s v="Weekday"/>
    <x v="2"/>
  </r>
  <r>
    <s v="R-101"/>
    <x v="4"/>
    <s v="BUS-3593"/>
    <x v="1"/>
    <d v="2026-06-30T00:00:00"/>
    <d v="1899-12-30T13:00:00"/>
    <n v="0"/>
    <n v="75"/>
    <n v="7500"/>
    <n v="34.4"/>
    <s v="DRV-110"/>
    <s v="Rainy"/>
    <s v="Weekday"/>
    <x v="0"/>
  </r>
  <r>
    <s v="R-104"/>
    <x v="0"/>
    <s v="BUS-8240"/>
    <x v="0"/>
    <d v="2026-06-14T00:00:00"/>
    <d v="1899-12-30T10:30:00"/>
    <n v="54"/>
    <n v="60"/>
    <n v="7200"/>
    <n v="35.159999999999997"/>
    <s v="DRV-305"/>
    <s v="Rainy"/>
    <s v="Weekend"/>
    <x v="0"/>
  </r>
  <r>
    <s v="R-104"/>
    <x v="0"/>
    <s v="BUS-7937"/>
    <x v="1"/>
    <d v="2026-06-07T00:00:00"/>
    <d v="1899-12-30T09:45:00"/>
    <n v="0"/>
    <n v="84"/>
    <n v="6720"/>
    <n v="20.3"/>
    <s v="DRV-778"/>
    <s v="Overcast"/>
    <s v="Weekend"/>
    <x v="0"/>
  </r>
  <r>
    <s v="R-101"/>
    <x v="4"/>
    <s v="BUS-7190"/>
    <x v="1"/>
    <d v="2026-06-17T00:00:00"/>
    <d v="1899-12-30T11:30:00"/>
    <n v="0"/>
    <n v="19"/>
    <n v="2280"/>
    <n v="32.17"/>
    <s v="DRV-346"/>
    <s v="Overcast"/>
    <s v="Weekday"/>
    <x v="2"/>
  </r>
  <r>
    <s v="R-102"/>
    <x v="3"/>
    <s v="BUS-6240"/>
    <x v="1"/>
    <d v="2026-06-30T00:00:00"/>
    <d v="1899-12-30T10:45:00"/>
    <n v="0"/>
    <n v="23"/>
    <n v="2300"/>
    <n v="38.26"/>
    <s v="DRV-658"/>
    <s v="Foggy"/>
    <s v="Weekday"/>
    <x v="1"/>
  </r>
  <r>
    <s v="R-101"/>
    <x v="4"/>
    <s v="BUS-7493"/>
    <x v="1"/>
    <d v="2026-06-12T00:00:00"/>
    <d v="1899-12-30T08:30:00"/>
    <n v="0"/>
    <n v="60"/>
    <n v="6000"/>
    <n v="30.22"/>
    <s v="DRV-857"/>
    <s v="Clear"/>
    <s v="Weekday"/>
    <x v="1"/>
  </r>
  <r>
    <s v="R-104"/>
    <x v="0"/>
    <s v="BUS-3878"/>
    <x v="2"/>
    <d v="2026-06-20T00:00:00"/>
    <d v="1899-12-30T19:30:00"/>
    <n v="0"/>
    <n v="82"/>
    <n v="9840"/>
    <n v="15.86"/>
    <s v="DRV-226"/>
    <s v="Foggy"/>
    <s v="Weekend"/>
    <x v="1"/>
  </r>
  <r>
    <s v="R-105"/>
    <x v="1"/>
    <s v="BUS-5143"/>
    <x v="0"/>
    <d v="2026-06-04T00:00:00"/>
    <d v="1899-12-30T10:00:00"/>
    <n v="0"/>
    <n v="48"/>
    <n v="4800"/>
    <n v="15.77"/>
    <s v="DRV-246"/>
    <s v="Overcast"/>
    <s v="Weekday"/>
    <x v="2"/>
  </r>
  <r>
    <s v="R-105"/>
    <x v="1"/>
    <s v="BUS-4644"/>
    <x v="3"/>
    <d v="2026-06-09T00:00:00"/>
    <d v="1899-12-30T10:15:00"/>
    <n v="55"/>
    <n v="37"/>
    <n v="2960"/>
    <n v="26.03"/>
    <s v="DRV-217"/>
    <s v="Clear"/>
    <s v="Weekday"/>
    <x v="0"/>
  </r>
  <r>
    <s v="R-103"/>
    <x v="2"/>
    <s v="BUS-5432"/>
    <x v="1"/>
    <d v="2026-06-06T00:00:00"/>
    <d v="1899-12-30T07:15:00"/>
    <n v="18"/>
    <n v="12"/>
    <n v="1440"/>
    <n v="42.82"/>
    <s v="DRV-481"/>
    <s v="Clear"/>
    <s v="Weekend"/>
    <x v="0"/>
  </r>
  <r>
    <s v="R-101"/>
    <x v="4"/>
    <s v="BUS-2276"/>
    <x v="2"/>
    <d v="2026-06-16T00:00:00"/>
    <d v="1899-12-30T11:30:00"/>
    <n v="0"/>
    <n v="79"/>
    <n v="6320"/>
    <n v="22.25"/>
    <s v="DRV-511"/>
    <s v="Overcast"/>
    <s v="Weekday"/>
    <x v="2"/>
  </r>
  <r>
    <s v="R-101"/>
    <x v="4"/>
    <s v="BUS-6811"/>
    <x v="2"/>
    <d v="2026-06-25T00:00:00"/>
    <d v="1899-12-30T15:30:00"/>
    <n v="62"/>
    <n v="36"/>
    <n v="4320"/>
    <n v="34.21"/>
    <s v="DRV-763"/>
    <s v="Rainy"/>
    <s v="Weekday"/>
    <x v="0"/>
  </r>
  <r>
    <s v="R-103"/>
    <x v="2"/>
    <s v="BUS-1302"/>
    <x v="2"/>
    <d v="2026-06-28T00:00:00"/>
    <d v="1899-12-30T12:00:00"/>
    <n v="0"/>
    <n v="11"/>
    <n v="1100"/>
    <n v="22.05"/>
    <s v="DRV-683"/>
    <s v="Rainy"/>
    <s v="Weekend"/>
    <x v="1"/>
  </r>
  <r>
    <s v="R-103"/>
    <x v="2"/>
    <s v="BUS-1638"/>
    <x v="3"/>
    <d v="2026-06-22T00:00:00"/>
    <d v="1899-12-30T06:00:00"/>
    <n v="44"/>
    <n v="47"/>
    <n v="5640"/>
    <n v="24.99"/>
    <s v="DRV-462"/>
    <s v="Clear"/>
    <s v="Weekday"/>
    <x v="0"/>
  </r>
  <r>
    <s v="R-103"/>
    <x v="2"/>
    <s v="BUS-1055"/>
    <x v="1"/>
    <d v="2026-06-22T00:00:00"/>
    <d v="1899-12-30T18:00:00"/>
    <n v="46"/>
    <n v="12"/>
    <n v="1440"/>
    <n v="40.520000000000003"/>
    <s v="DRV-608"/>
    <s v="Foggy"/>
    <s v="Weekday"/>
    <x v="0"/>
  </r>
  <r>
    <s v="R-104"/>
    <x v="0"/>
    <s v="BUS-9717"/>
    <x v="0"/>
    <d v="2026-06-21T00:00:00"/>
    <d v="1899-12-30T10:00:00"/>
    <n v="0"/>
    <n v="25"/>
    <n v="2000"/>
    <n v="37"/>
    <s v="DRV-236"/>
    <s v="Rainy"/>
    <s v="Weekend"/>
    <x v="2"/>
  </r>
  <r>
    <s v="R-101"/>
    <x v="4"/>
    <s v="BUS-9150"/>
    <x v="0"/>
    <d v="2026-06-21T00:00:00"/>
    <d v="1899-12-30T09:00:00"/>
    <n v="0"/>
    <n v="49"/>
    <n v="4900"/>
    <n v="18.309999999999999"/>
    <s v="DRV-274"/>
    <s v="Foggy"/>
    <s v="Weekend"/>
    <x v="2"/>
  </r>
  <r>
    <s v="R-104"/>
    <x v="0"/>
    <s v="BUS-3125"/>
    <x v="2"/>
    <d v="2026-06-02T00:00:00"/>
    <d v="1899-12-30T08:00:00"/>
    <n v="45"/>
    <n v="11"/>
    <n v="880"/>
    <n v="28.15"/>
    <s v="DRV-388"/>
    <s v="Rainy"/>
    <s v="Weekday"/>
    <x v="0"/>
  </r>
  <r>
    <s v="R-103"/>
    <x v="2"/>
    <s v="BUS-1364"/>
    <x v="3"/>
    <d v="2026-06-24T00:00:00"/>
    <d v="1899-12-30T16:30:00"/>
    <n v="22"/>
    <n v="50"/>
    <n v="5000"/>
    <n v="16.36"/>
    <s v="DRV-580"/>
    <s v="Rainy"/>
    <s v="Weekday"/>
    <x v="0"/>
  </r>
  <r>
    <s v="R-101"/>
    <x v="4"/>
    <s v="BUS-7809"/>
    <x v="3"/>
    <d v="2026-06-08T00:00:00"/>
    <d v="1899-12-30T09:15:00"/>
    <n v="0"/>
    <n v="21"/>
    <n v="1680"/>
    <n v="29.69"/>
    <s v="DRV-118"/>
    <s v="Foggy"/>
    <s v="Weekday"/>
    <x v="2"/>
  </r>
  <r>
    <s v="R-104"/>
    <x v="0"/>
    <s v="BUS-5621"/>
    <x v="3"/>
    <d v="2026-06-11T00:00:00"/>
    <d v="1899-12-30T21:45:00"/>
    <n v="0"/>
    <n v="44"/>
    <n v="5280"/>
    <n v="35.04"/>
    <s v="DRV-294"/>
    <s v="Overcast"/>
    <s v="Weekday"/>
    <x v="1"/>
  </r>
  <r>
    <s v="R-104"/>
    <x v="0"/>
    <s v="BUS-6126"/>
    <x v="0"/>
    <d v="2026-06-13T00:00:00"/>
    <d v="1899-12-30T13:30:00"/>
    <n v="0"/>
    <n v="74"/>
    <n v="5920"/>
    <n v="19"/>
    <s v="DRV-429"/>
    <s v="Rainy"/>
    <s v="Weekend"/>
    <x v="1"/>
  </r>
  <r>
    <s v="R-103"/>
    <x v="2"/>
    <s v="BUS-6122"/>
    <x v="2"/>
    <d v="2026-06-17T00:00:00"/>
    <d v="1899-12-30T14:00:00"/>
    <n v="0"/>
    <n v="64"/>
    <n v="6400"/>
    <n v="24.02"/>
    <s v="DRV-274"/>
    <s v="Rainy"/>
    <s v="Weekday"/>
    <x v="1"/>
  </r>
  <r>
    <s v="R-101"/>
    <x v="4"/>
    <s v="BUS-2646"/>
    <x v="1"/>
    <d v="2026-06-08T00:00:00"/>
    <d v="1899-12-30T11:15:00"/>
    <n v="61"/>
    <n v="54"/>
    <n v="5400"/>
    <n v="27.24"/>
    <s v="DRV-548"/>
    <s v="Foggy"/>
    <s v="Weekday"/>
    <x v="0"/>
  </r>
  <r>
    <s v="R-103"/>
    <x v="2"/>
    <s v="BUS-1918"/>
    <x v="0"/>
    <d v="2026-06-21T00:00:00"/>
    <d v="1899-12-30T15:00:00"/>
    <n v="16"/>
    <n v="71"/>
    <n v="8520"/>
    <n v="42.63"/>
    <s v="DRV-453"/>
    <s v="Overcast"/>
    <s v="Weekend"/>
    <x v="0"/>
  </r>
  <r>
    <s v="R-101"/>
    <x v="4"/>
    <s v="BUS-3797"/>
    <x v="2"/>
    <d v="2026-06-18T00:00:00"/>
    <d v="1899-12-30T22:00:00"/>
    <n v="0"/>
    <n v="58"/>
    <n v="5800"/>
    <n v="44.8"/>
    <s v="DRV-598"/>
    <s v="Rainy"/>
    <s v="Weekday"/>
    <x v="1"/>
  </r>
  <r>
    <s v="R-105"/>
    <x v="1"/>
    <s v="BUS-7506"/>
    <x v="2"/>
    <d v="2026-06-30T00:00:00"/>
    <d v="1899-12-30T22:45:00"/>
    <n v="63"/>
    <n v="34"/>
    <n v="2720"/>
    <n v="16.82"/>
    <s v="DRV-240"/>
    <s v="Rainy"/>
    <s v="Weekday"/>
    <x v="0"/>
  </r>
  <r>
    <s v="R-102"/>
    <x v="3"/>
    <s v="BUS-6870"/>
    <x v="1"/>
    <d v="2026-06-18T00:00:00"/>
    <d v="1899-12-30T14:00:00"/>
    <n v="0"/>
    <n v="32"/>
    <n v="3840"/>
    <n v="37.950000000000003"/>
    <s v="DRV-857"/>
    <s v="Overcast"/>
    <s v="Weekday"/>
    <x v="2"/>
  </r>
  <r>
    <s v="R-102"/>
    <x v="3"/>
    <s v="BUS-2531"/>
    <x v="1"/>
    <d v="2026-06-14T00:00:00"/>
    <d v="1899-12-30T06:15:00"/>
    <n v="0"/>
    <n v="33"/>
    <n v="3300"/>
    <n v="26.47"/>
    <s v="DRV-996"/>
    <s v="Rainy"/>
    <s v="Weekend"/>
    <x v="1"/>
  </r>
  <r>
    <s v="R-102"/>
    <x v="3"/>
    <s v="BUS-9172"/>
    <x v="1"/>
    <d v="2026-06-15T00:00:00"/>
    <d v="1899-12-30T21:00:00"/>
    <n v="49"/>
    <n v="47"/>
    <n v="4700"/>
    <n v="27.08"/>
    <s v="DRV-192"/>
    <s v="Overcast"/>
    <s v="Weekday"/>
    <x v="0"/>
  </r>
  <r>
    <s v="R-103"/>
    <x v="2"/>
    <s v="BUS-4345"/>
    <x v="3"/>
    <d v="2026-06-06T00:00:00"/>
    <d v="1899-12-30T06:15:00"/>
    <n v="0"/>
    <n v="37"/>
    <n v="2960"/>
    <n v="37.75"/>
    <s v="DRV-338"/>
    <s v="Overcast"/>
    <s v="Weekend"/>
    <x v="1"/>
  </r>
  <r>
    <s v="R-105"/>
    <x v="1"/>
    <s v="BUS-8673"/>
    <x v="1"/>
    <d v="2026-06-11T00:00:00"/>
    <d v="1899-12-30T13:00:00"/>
    <n v="0"/>
    <n v="30"/>
    <n v="2400"/>
    <n v="42.59"/>
    <s v="DRV-304"/>
    <s v="Foggy"/>
    <s v="Weekday"/>
    <x v="2"/>
  </r>
  <r>
    <s v="R-101"/>
    <x v="4"/>
    <s v="BUS-7949"/>
    <x v="2"/>
    <d v="2026-06-13T00:00:00"/>
    <d v="1899-12-30T16:30:00"/>
    <n v="32"/>
    <n v="63"/>
    <n v="7560"/>
    <n v="43.55"/>
    <s v="DRV-659"/>
    <s v="Clear"/>
    <s v="Weekend"/>
    <x v="0"/>
  </r>
  <r>
    <s v="R-104"/>
    <x v="0"/>
    <s v="BUS-7882"/>
    <x v="1"/>
    <d v="2026-06-25T00:00:00"/>
    <d v="1899-12-30T07:45:00"/>
    <n v="0"/>
    <n v="27"/>
    <n v="2700"/>
    <n v="32.53"/>
    <s v="DRV-532"/>
    <s v="Overcast"/>
    <s v="Weekday"/>
    <x v="2"/>
  </r>
  <r>
    <s v="R-101"/>
    <x v="4"/>
    <s v="BUS-2906"/>
    <x v="2"/>
    <d v="2026-06-01T00:00:00"/>
    <d v="1899-12-30T13:00:00"/>
    <n v="0"/>
    <n v="45"/>
    <n v="3600"/>
    <n v="26.04"/>
    <s v="DRV-344"/>
    <s v="Foggy"/>
    <s v="Weekday"/>
    <x v="2"/>
  </r>
  <r>
    <s v="R-104"/>
    <x v="0"/>
    <s v="BUS-4086"/>
    <x v="0"/>
    <d v="2026-06-28T00:00:00"/>
    <d v="1899-12-30T20:00:00"/>
    <n v="0"/>
    <n v="54"/>
    <n v="6480"/>
    <n v="38.729999999999997"/>
    <s v="DRV-931"/>
    <s v="Clear"/>
    <s v="Weekend"/>
    <x v="1"/>
  </r>
  <r>
    <s v="R-101"/>
    <x v="4"/>
    <s v="BUS-9152"/>
    <x v="3"/>
    <d v="2026-06-06T00:00:00"/>
    <d v="1899-12-30T18:30:00"/>
    <n v="60"/>
    <n v="82"/>
    <n v="8200"/>
    <n v="22.9"/>
    <s v="DRV-416"/>
    <s v="Rainy"/>
    <s v="Weekend"/>
    <x v="0"/>
  </r>
  <r>
    <s v="R-105"/>
    <x v="1"/>
    <s v="BUS-6750"/>
    <x v="0"/>
    <d v="2026-06-09T00:00:00"/>
    <d v="1899-12-30T10:45:00"/>
    <n v="0"/>
    <n v="62"/>
    <n v="6200"/>
    <n v="32.195"/>
    <s v="DRV-394"/>
    <s v="Clear"/>
    <s v="Weekday"/>
    <x v="2"/>
  </r>
  <r>
    <s v="R-104"/>
    <x v="0"/>
    <s v="BUS-9905"/>
    <x v="0"/>
    <d v="2026-06-08T00:00:00"/>
    <d v="1899-12-30T17:00:00"/>
    <n v="0"/>
    <n v="39"/>
    <n v="4680"/>
    <n v="26.08"/>
    <s v="DRV-739"/>
    <s v="Overcast"/>
    <s v="Weekday"/>
    <x v="1"/>
  </r>
  <r>
    <s v="R-103"/>
    <x v="2"/>
    <s v="BUS-2062"/>
    <x v="2"/>
    <d v="2026-06-11T00:00:00"/>
    <d v="1899-12-30T10:45:00"/>
    <n v="40"/>
    <n v="69"/>
    <n v="8280"/>
    <n v="34.869999999999997"/>
    <s v="DRV-955"/>
    <s v="Overcast"/>
    <s v="Weekday"/>
    <x v="0"/>
  </r>
  <r>
    <s v="R-101"/>
    <x v="4"/>
    <s v="BUS-2976"/>
    <x v="0"/>
    <d v="2026-06-22T00:00:00"/>
    <d v="1899-12-30T18:45:00"/>
    <n v="34"/>
    <n v="41"/>
    <n v="3280"/>
    <n v="22.59"/>
    <s v="DRV-381"/>
    <s v="Overcast"/>
    <s v="Weekday"/>
    <x v="0"/>
  </r>
  <r>
    <s v="R-101"/>
    <x v="4"/>
    <s v="BUS-2296"/>
    <x v="2"/>
    <d v="2026-06-19T00:00:00"/>
    <d v="1899-12-30T16:00:00"/>
    <n v="40"/>
    <n v="76"/>
    <n v="7600"/>
    <n v="21.15"/>
    <s v="DRV-116"/>
    <s v="Overcast"/>
    <s v="Weekday"/>
    <x v="0"/>
  </r>
  <r>
    <s v="R-104"/>
    <x v="0"/>
    <s v="BUS-7229"/>
    <x v="1"/>
    <d v="2026-06-24T00:00:00"/>
    <d v="1899-12-30T18:30:00"/>
    <n v="0"/>
    <n v="76"/>
    <n v="7600"/>
    <n v="31.34"/>
    <s v="DRV-170"/>
    <s v="Overcast"/>
    <s v="Weekday"/>
    <x v="1"/>
  </r>
  <r>
    <s v="R-103"/>
    <x v="2"/>
    <s v="BUS-8641"/>
    <x v="1"/>
    <d v="2026-06-09T00:00:00"/>
    <d v="1899-12-30T08:45:00"/>
    <n v="0"/>
    <n v="37"/>
    <n v="3700"/>
    <n v="18.5"/>
    <s v="DRV-368"/>
    <s v="Foggy"/>
    <s v="Weekday"/>
    <x v="1"/>
  </r>
  <r>
    <s v="R-103"/>
    <x v="2"/>
    <s v="BUS-1125"/>
    <x v="2"/>
    <d v="2026-06-17T00:00:00"/>
    <d v="1899-12-30T22:00:00"/>
    <n v="0"/>
    <n v="53"/>
    <n v="6360"/>
    <n v="30.43"/>
    <s v="DRV-424"/>
    <s v="Overcast"/>
    <s v="Weekday"/>
    <x v="0"/>
  </r>
  <r>
    <s v="R-105"/>
    <x v="1"/>
    <s v="BUS-5632"/>
    <x v="1"/>
    <d v="2026-06-12T00:00:00"/>
    <d v="1899-12-30T13:15:00"/>
    <n v="0"/>
    <n v="50"/>
    <n v="4000"/>
    <n v="22.02"/>
    <s v="DRV-893"/>
    <s v="Foggy"/>
    <s v="Weekday"/>
    <x v="2"/>
  </r>
  <r>
    <s v="R-103"/>
    <x v="2"/>
    <s v="BUS-7288"/>
    <x v="3"/>
    <d v="2026-06-25T00:00:00"/>
    <d v="1899-12-30T19:45:00"/>
    <n v="26"/>
    <n v="72"/>
    <n v="7200"/>
    <n v="16.649999999999999"/>
    <s v="DRV-404"/>
    <s v="Rainy"/>
    <s v="Weekday"/>
    <x v="0"/>
  </r>
  <r>
    <s v="R-103"/>
    <x v="2"/>
    <s v="BUS-4596"/>
    <x v="0"/>
    <d v="2026-06-14T00:00:00"/>
    <d v="1899-12-30T16:45:00"/>
    <n v="54"/>
    <n v="32"/>
    <n v="3840"/>
    <n v="16.559999999999999"/>
    <s v="DRV-550"/>
    <s v="Overcast"/>
    <s v="Weekend"/>
    <x v="0"/>
  </r>
  <r>
    <s v="R-103"/>
    <x v="2"/>
    <s v="BUS-7168"/>
    <x v="3"/>
    <d v="2026-06-15T00:00:00"/>
    <d v="1899-12-30T20:30:00"/>
    <n v="0"/>
    <n v="84"/>
    <n v="8400"/>
    <n v="20.67"/>
    <s v="DRV-106"/>
    <s v="Overcast"/>
    <s v="Weekday"/>
    <x v="1"/>
  </r>
  <r>
    <s v="R-102"/>
    <x v="3"/>
    <s v="BUS-8561"/>
    <x v="0"/>
    <d v="2026-06-16T00:00:00"/>
    <d v="1899-12-30T12:30:00"/>
    <n v="0"/>
    <n v="57"/>
    <n v="4560"/>
    <n v="41.07"/>
    <s v="DRV-413"/>
    <s v="Clear"/>
    <s v="Weekday"/>
    <x v="1"/>
  </r>
  <r>
    <s v="R-105"/>
    <x v="1"/>
    <s v="BUS-9258"/>
    <x v="1"/>
    <d v="2026-06-22T00:00:00"/>
    <d v="1899-12-30T16:15:00"/>
    <n v="22"/>
    <n v="41"/>
    <n v="4100"/>
    <n v="23.83"/>
    <s v="DRV-916"/>
    <s v="Rainy"/>
    <s v="Weekday"/>
    <x v="0"/>
  </r>
  <r>
    <s v="R-101"/>
    <x v="4"/>
    <s v="BUS-1232"/>
    <x v="3"/>
    <d v="2026-06-22T00:00:00"/>
    <d v="1899-12-30T10:00:00"/>
    <n v="48"/>
    <n v="66"/>
    <n v="5280"/>
    <n v="43.54"/>
    <s v="DRV-202"/>
    <s v="Overcast"/>
    <s v="Weekday"/>
    <x v="0"/>
  </r>
  <r>
    <s v="R-104"/>
    <x v="0"/>
    <s v="BUS-7371"/>
    <x v="1"/>
    <d v="2026-06-28T00:00:00"/>
    <d v="1899-12-30T13:45:00"/>
    <n v="37"/>
    <n v="42"/>
    <n v="3360"/>
    <n v="32.659999999999997"/>
    <s v="DRV-920"/>
    <s v="Overcast"/>
    <s v="Weekend"/>
    <x v="0"/>
  </r>
  <r>
    <s v="R-101"/>
    <x v="4"/>
    <s v="BUS-5206"/>
    <x v="0"/>
    <d v="2026-06-20T00:00:00"/>
    <d v="1899-12-30T15:15:00"/>
    <n v="51"/>
    <n v="33"/>
    <n v="3300"/>
    <n v="28.38"/>
    <s v="DRV-292"/>
    <s v="Rainy"/>
    <s v="Weekend"/>
    <x v="0"/>
  </r>
  <r>
    <s v="R-105"/>
    <x v="1"/>
    <s v="BUS-8943"/>
    <x v="2"/>
    <d v="2026-06-01T00:00:00"/>
    <d v="1899-12-30T20:45:00"/>
    <n v="0"/>
    <n v="48"/>
    <n v="4800"/>
    <n v="32.61"/>
    <s v="DRV-852"/>
    <s v="Foggy"/>
    <s v="Weekday"/>
    <x v="1"/>
  </r>
  <r>
    <s v="R-104"/>
    <x v="0"/>
    <s v="BUS-7891"/>
    <x v="2"/>
    <d v="2026-06-10T00:00:00"/>
    <d v="1899-12-30T21:45:00"/>
    <n v="0"/>
    <n v="43"/>
    <n v="3440"/>
    <n v="30.74"/>
    <s v="DRV-673"/>
    <s v="Overcast"/>
    <s v="Weekday"/>
    <x v="1"/>
  </r>
  <r>
    <s v="R-105"/>
    <x v="1"/>
    <s v="BUS-7738"/>
    <x v="3"/>
    <d v="2026-06-08T00:00:00"/>
    <d v="1899-12-30T22:30:00"/>
    <n v="0"/>
    <n v="65"/>
    <n v="7800"/>
    <n v="37.880000000000003"/>
    <s v="DRV-628"/>
    <s v="Clear"/>
    <s v="Weekday"/>
    <x v="1"/>
  </r>
  <r>
    <s v="R-103"/>
    <x v="2"/>
    <s v="BUS-3472"/>
    <x v="1"/>
    <d v="2026-06-18T00:00:00"/>
    <d v="1899-12-30T13:45:00"/>
    <n v="0"/>
    <n v="37"/>
    <n v="2960"/>
    <n v="23.83"/>
    <s v="DRV-270"/>
    <s v="Overcast"/>
    <s v="Weekday"/>
    <x v="2"/>
  </r>
  <r>
    <s v="R-104"/>
    <x v="0"/>
    <s v="BUS-3739"/>
    <x v="1"/>
    <d v="2026-06-28T00:00:00"/>
    <d v="1899-12-30T13:00:00"/>
    <n v="27"/>
    <n v="46"/>
    <n v="4600"/>
    <n v="25.91"/>
    <s v="DRV-636"/>
    <s v="Clear"/>
    <s v="Weekend"/>
    <x v="0"/>
  </r>
  <r>
    <s v="R-103"/>
    <x v="2"/>
    <s v="BUS-6401"/>
    <x v="3"/>
    <d v="2026-06-01T00:00:00"/>
    <d v="1899-12-30T14:15:00"/>
    <n v="20"/>
    <n v="16"/>
    <n v="1600"/>
    <n v="41.88"/>
    <s v="DRV-350"/>
    <s v="Clear"/>
    <s v="Weekday"/>
    <x v="0"/>
  </r>
  <r>
    <s v="R-101"/>
    <x v="4"/>
    <s v="BUS-2761"/>
    <x v="2"/>
    <d v="2026-06-02T00:00:00"/>
    <d v="1899-12-30T20:15:00"/>
    <n v="0"/>
    <n v="77"/>
    <n v="9240"/>
    <n v="43.42"/>
    <s v="DRV-864"/>
    <s v="Overcast"/>
    <s v="Weekday"/>
    <x v="1"/>
  </r>
  <r>
    <s v="R-101"/>
    <x v="4"/>
    <s v="BUS-1876"/>
    <x v="0"/>
    <d v="2026-06-01T00:00:00"/>
    <d v="1899-12-30T08:00:00"/>
    <n v="0"/>
    <n v="46"/>
    <n v="3680"/>
    <n v="41.83"/>
    <s v="DRV-486"/>
    <s v="Overcast"/>
    <s v="Weekday"/>
    <x v="1"/>
  </r>
  <r>
    <s v="R-104"/>
    <x v="0"/>
    <s v="BUS-4812"/>
    <x v="3"/>
    <d v="2026-06-01T00:00:00"/>
    <d v="1899-12-30T09:15:00"/>
    <n v="14"/>
    <n v="65"/>
    <n v="5200"/>
    <n v="27.87"/>
    <s v="DRV-306"/>
    <s v="Clear"/>
    <s v="Weekday"/>
    <x v="0"/>
  </r>
  <r>
    <s v="R-104"/>
    <x v="0"/>
    <s v="BUS-2460"/>
    <x v="0"/>
    <d v="2026-06-09T00:00:00"/>
    <d v="1899-12-30T09:15:00"/>
    <n v="0"/>
    <n v="74"/>
    <n v="5920"/>
    <n v="38.520000000000003"/>
    <s v="DRV-640"/>
    <s v="Rainy"/>
    <s v="Weekday"/>
    <x v="1"/>
  </r>
  <r>
    <s v="R-105"/>
    <x v="1"/>
    <s v="BUS-2733"/>
    <x v="2"/>
    <d v="2026-06-13T00:00:00"/>
    <d v="1899-12-30T14:00:00"/>
    <n v="0"/>
    <n v="74"/>
    <n v="7400"/>
    <n v="29.55"/>
    <s v="DRV-728"/>
    <s v="Rainy"/>
    <s v="Weekend"/>
    <x v="2"/>
  </r>
  <r>
    <s v="R-105"/>
    <x v="1"/>
    <s v="BUS-2605"/>
    <x v="1"/>
    <d v="2026-06-30T00:00:00"/>
    <d v="1899-12-30T15:00:00"/>
    <n v="0"/>
    <n v="56"/>
    <n v="4480"/>
    <n v="30.18"/>
    <s v="DRV-515"/>
    <s v="Overcast"/>
    <s v="Weekday"/>
    <x v="2"/>
  </r>
  <r>
    <s v="R-103"/>
    <x v="2"/>
    <s v="BUS-6622"/>
    <x v="2"/>
    <d v="2026-06-01T00:00:00"/>
    <d v="1899-12-30T09:45:00"/>
    <n v="0"/>
    <n v="29"/>
    <n v="3480"/>
    <n v="21.54"/>
    <s v="DRV-893"/>
    <s v="Foggy"/>
    <s v="Weekday"/>
    <x v="1"/>
  </r>
  <r>
    <s v="R-104"/>
    <x v="0"/>
    <s v="BUS-7767"/>
    <x v="3"/>
    <d v="2026-06-13T00:00:00"/>
    <d v="1899-12-30T13:15:00"/>
    <n v="25"/>
    <n v="28"/>
    <n v="2800"/>
    <n v="32.94"/>
    <s v="DRV-479"/>
    <s v="Rainy"/>
    <s v="Weekend"/>
    <x v="0"/>
  </r>
  <r>
    <s v="R-101"/>
    <x v="4"/>
    <s v="BUS-7986"/>
    <x v="1"/>
    <d v="2026-06-20T00:00:00"/>
    <d v="1899-12-30T18:00:00"/>
    <n v="33"/>
    <n v="38"/>
    <n v="3800"/>
    <n v="20.99"/>
    <s v="DRV-243"/>
    <s v="Overcast"/>
    <s v="Weekend"/>
    <x v="0"/>
  </r>
  <r>
    <s v="R-105"/>
    <x v="1"/>
    <s v="BUS-4517"/>
    <x v="3"/>
    <d v="2026-06-26T00:00:00"/>
    <d v="1899-12-30T21:45:00"/>
    <n v="50"/>
    <n v="83"/>
    <n v="6640"/>
    <n v="25.28"/>
    <s v="DRV-124"/>
    <s v="Rainy"/>
    <s v="Weekday"/>
    <x v="0"/>
  </r>
  <r>
    <s v="R-105"/>
    <x v="1"/>
    <s v="BUS-4735"/>
    <x v="3"/>
    <d v="2026-06-22T00:00:00"/>
    <d v="1899-12-30T07:30:00"/>
    <n v="0"/>
    <n v="69"/>
    <n v="8280"/>
    <n v="40.72"/>
    <s v="DRV-921"/>
    <s v="Foggy"/>
    <s v="Weekday"/>
    <x v="1"/>
  </r>
  <r>
    <s v="R-101"/>
    <x v="4"/>
    <s v="BUS-9434"/>
    <x v="2"/>
    <d v="2026-06-07T00:00:00"/>
    <d v="1899-12-30T15:30:00"/>
    <n v="0"/>
    <n v="27"/>
    <n v="2700"/>
    <n v="21.61"/>
    <s v="DRV-767"/>
    <s v="Overcast"/>
    <s v="Weekend"/>
    <x v="1"/>
  </r>
  <r>
    <s v="R-105"/>
    <x v="1"/>
    <s v="BUS-3590"/>
    <x v="3"/>
    <d v="2026-06-02T00:00:00"/>
    <d v="1899-12-30T22:45:00"/>
    <n v="34"/>
    <n v="44"/>
    <n v="4400"/>
    <n v="17.600000000000001"/>
    <s v="DRV-172"/>
    <s v="Foggy"/>
    <s v="Weekday"/>
    <x v="0"/>
  </r>
  <r>
    <s v="R-103"/>
    <x v="2"/>
    <s v="BUS-2063"/>
    <x v="2"/>
    <d v="2026-06-06T00:00:00"/>
    <d v="1899-12-30T14:00:00"/>
    <n v="0"/>
    <n v="52"/>
    <n v="4160"/>
    <n v="17.54"/>
    <s v="DRV-731"/>
    <s v="Overcast"/>
    <s v="Weekend"/>
    <x v="2"/>
  </r>
  <r>
    <s v="R-104"/>
    <x v="0"/>
    <s v="BUS-5324"/>
    <x v="1"/>
    <d v="2026-06-07T00:00:00"/>
    <d v="1899-12-30T13:30:00"/>
    <n v="64"/>
    <n v="20"/>
    <n v="1600"/>
    <n v="43.25"/>
    <s v="DRV-923"/>
    <s v="Foggy"/>
    <s v="Weekend"/>
    <x v="0"/>
  </r>
  <r>
    <s v="R-101"/>
    <x v="4"/>
    <s v="BUS-6342"/>
    <x v="2"/>
    <d v="2026-06-26T00:00:00"/>
    <d v="1899-12-30T19:45:00"/>
    <n v="44"/>
    <n v="58"/>
    <n v="6960"/>
    <n v="30.45"/>
    <s v="DRV-932"/>
    <s v="Rainy"/>
    <s v="Weekday"/>
    <x v="0"/>
  </r>
  <r>
    <s v="R-104"/>
    <x v="0"/>
    <s v="BUS-1005"/>
    <x v="1"/>
    <d v="2026-06-14T00:00:00"/>
    <d v="1899-12-30T17:45:00"/>
    <n v="64"/>
    <n v="47"/>
    <n v="3760"/>
    <n v="27.58"/>
    <s v="DRV-192"/>
    <s v="Rainy"/>
    <s v="Weekend"/>
    <x v="0"/>
  </r>
  <r>
    <s v="R-105"/>
    <x v="1"/>
    <s v="BUS-8489"/>
    <x v="2"/>
    <d v="2026-06-26T00:00:00"/>
    <d v="1899-12-30T19:00:00"/>
    <n v="23"/>
    <n v="73"/>
    <n v="8760"/>
    <n v="39.42"/>
    <s v="DRV-604"/>
    <s v="Foggy"/>
    <s v="Weekday"/>
    <x v="0"/>
  </r>
  <r>
    <s v="R-105"/>
    <x v="1"/>
    <s v="BUS-9659"/>
    <x v="0"/>
    <d v="2026-06-18T00:00:00"/>
    <d v="1899-12-30T08:15:00"/>
    <n v="58"/>
    <n v="78"/>
    <n v="7800"/>
    <n v="40.159999999999997"/>
    <s v="DRV-697"/>
    <s v="Foggy"/>
    <s v="Weekday"/>
    <x v="0"/>
  </r>
  <r>
    <s v="R-101"/>
    <x v="4"/>
    <s v="BUS-9195"/>
    <x v="0"/>
    <d v="2026-06-15T00:00:00"/>
    <d v="1899-12-30T12:00:00"/>
    <n v="0"/>
    <n v="17"/>
    <n v="2040"/>
    <n v="25.3"/>
    <s v="DRV-435"/>
    <s v="Foggy"/>
    <s v="Weekday"/>
    <x v="1"/>
  </r>
  <r>
    <s v="R-103"/>
    <x v="2"/>
    <s v="BUS-6966"/>
    <x v="3"/>
    <d v="2026-06-02T00:00:00"/>
    <d v="1899-12-30T17:00:00"/>
    <n v="0"/>
    <n v="43"/>
    <n v="5160"/>
    <n v="35.96"/>
    <s v="DRV-524"/>
    <s v="Overcast"/>
    <s v="Weekday"/>
    <x v="2"/>
  </r>
  <r>
    <s v="R-102"/>
    <x v="3"/>
    <s v="BUS-9837"/>
    <x v="2"/>
    <d v="2026-06-10T00:00:00"/>
    <d v="1899-12-30T20:15:00"/>
    <n v="0"/>
    <n v="57"/>
    <n v="6840"/>
    <n v="38.25"/>
    <s v="DRV-598"/>
    <s v="Rainy"/>
    <s v="Weekday"/>
    <x v="2"/>
  </r>
  <r>
    <s v="R-101"/>
    <x v="4"/>
    <s v="BUS-1117"/>
    <x v="2"/>
    <d v="2026-06-23T00:00:00"/>
    <d v="1899-12-30T18:15:00"/>
    <n v="0"/>
    <n v="65"/>
    <n v="6500"/>
    <n v="34.81"/>
    <s v="DRV-463"/>
    <s v="Overcast"/>
    <s v="Weekday"/>
    <x v="1"/>
  </r>
  <r>
    <s v="R-102"/>
    <x v="3"/>
    <s v="BUS-3551"/>
    <x v="1"/>
    <d v="2026-06-12T00:00:00"/>
    <d v="1899-12-30T13:15:00"/>
    <n v="0"/>
    <n v="74"/>
    <n v="5920"/>
    <n v="19.97"/>
    <s v="DRV-729"/>
    <s v="Rainy"/>
    <s v="Weekday"/>
    <x v="1"/>
  </r>
  <r>
    <s v="R-102"/>
    <x v="3"/>
    <s v="BUS-6560"/>
    <x v="3"/>
    <d v="2026-06-17T00:00:00"/>
    <d v="1899-12-30T13:15:00"/>
    <n v="28"/>
    <n v="40"/>
    <n v="4000"/>
    <n v="41.34"/>
    <s v="DRV-844"/>
    <s v="Clear"/>
    <s v="Weekday"/>
    <x v="0"/>
  </r>
  <r>
    <s v="R-103"/>
    <x v="2"/>
    <s v="BUS-5289"/>
    <x v="2"/>
    <d v="2026-06-08T00:00:00"/>
    <d v="1899-12-30T12:30:00"/>
    <n v="0"/>
    <n v="13"/>
    <n v="1040"/>
    <n v="31.4"/>
    <s v="DRV-298"/>
    <s v="Overcast"/>
    <s v="Weekday"/>
    <x v="1"/>
  </r>
  <r>
    <s v="R-102"/>
    <x v="3"/>
    <s v="BUS-1846"/>
    <x v="3"/>
    <d v="2026-06-11T00:00:00"/>
    <d v="1899-12-30T17:45:00"/>
    <n v="34"/>
    <n v="59"/>
    <n v="7080"/>
    <n v="23.83"/>
    <s v="DRV-817"/>
    <s v="Rainy"/>
    <s v="Weekday"/>
    <x v="0"/>
  </r>
  <r>
    <s v="R-102"/>
    <x v="3"/>
    <s v="BUS-7316"/>
    <x v="0"/>
    <d v="2026-06-29T00:00:00"/>
    <d v="1899-12-30T16:45:00"/>
    <n v="0"/>
    <n v="78"/>
    <n v="9360"/>
    <n v="28.04"/>
    <s v="DRV-512"/>
    <s v="Rainy"/>
    <s v="Weekday"/>
    <x v="1"/>
  </r>
  <r>
    <s v="R-103"/>
    <x v="2"/>
    <s v="BUS-7469"/>
    <x v="2"/>
    <d v="2026-06-03T00:00:00"/>
    <d v="1899-12-30T16:00:00"/>
    <n v="0"/>
    <n v="39"/>
    <n v="4680"/>
    <n v="16.61"/>
    <s v="DRV-438"/>
    <s v="Overcast"/>
    <s v="Weekday"/>
    <x v="2"/>
  </r>
  <r>
    <s v="R-102"/>
    <x v="3"/>
    <s v="BUS-9915"/>
    <x v="2"/>
    <d v="2026-06-27T00:00:00"/>
    <d v="1899-12-30T18:15:00"/>
    <n v="63"/>
    <n v="68"/>
    <n v="8160"/>
    <n v="19.27"/>
    <s v="DRV-758"/>
    <s v="Overcast"/>
    <s v="Weekend"/>
    <x v="0"/>
  </r>
  <r>
    <s v="R-102"/>
    <x v="3"/>
    <s v="BUS-1224"/>
    <x v="3"/>
    <d v="2026-06-06T00:00:00"/>
    <d v="1899-12-30T07:00:00"/>
    <n v="0"/>
    <n v="76"/>
    <n v="9120"/>
    <n v="38.08"/>
    <s v="DRV-528"/>
    <s v="Rainy"/>
    <s v="Weekend"/>
    <x v="1"/>
  </r>
  <r>
    <s v="R-102"/>
    <x v="3"/>
    <s v="BUS-5208"/>
    <x v="2"/>
    <d v="2026-06-09T00:00:00"/>
    <d v="1899-12-30T20:45:00"/>
    <n v="60"/>
    <n v="84"/>
    <n v="6720"/>
    <n v="15.5"/>
    <s v="DRV-882"/>
    <s v="Overcast"/>
    <s v="Weekday"/>
    <x v="0"/>
  </r>
  <r>
    <s v="R-101"/>
    <x v="4"/>
    <s v="BUS-7283"/>
    <x v="3"/>
    <d v="2026-06-06T00:00:00"/>
    <d v="1899-12-30T20:30:00"/>
    <n v="17"/>
    <n v="54"/>
    <n v="4320"/>
    <n v="27.79"/>
    <s v="DRV-998"/>
    <s v="Foggy"/>
    <s v="Weekend"/>
    <x v="0"/>
  </r>
  <r>
    <s v="R-101"/>
    <x v="4"/>
    <s v="BUS-3048"/>
    <x v="2"/>
    <d v="2026-06-09T00:00:00"/>
    <d v="1899-12-30T17:00:00"/>
    <n v="27"/>
    <n v="13"/>
    <n v="1560"/>
    <n v="30.91"/>
    <s v="DRV-238"/>
    <s v="Overcast"/>
    <s v="Weekday"/>
    <x v="0"/>
  </r>
  <r>
    <s v="R-101"/>
    <x v="4"/>
    <s v="BUS-7233"/>
    <x v="1"/>
    <d v="2026-06-07T00:00:00"/>
    <d v="1899-12-30T16:00:00"/>
    <n v="0"/>
    <n v="35"/>
    <n v="3500"/>
    <n v="17.11"/>
    <s v="DRV-792"/>
    <s v="Overcast"/>
    <s v="Weekend"/>
    <x v="1"/>
  </r>
  <r>
    <s v="R-103"/>
    <x v="2"/>
    <s v="BUS-2828"/>
    <x v="3"/>
    <d v="2026-06-09T00:00:00"/>
    <d v="1899-12-30T06:45:00"/>
    <n v="0"/>
    <n v="36"/>
    <n v="3600"/>
    <n v="44.21"/>
    <s v="DRV-641"/>
    <s v="Overcast"/>
    <s v="Weekday"/>
    <x v="2"/>
  </r>
  <r>
    <s v="R-105"/>
    <x v="1"/>
    <s v="BUS-2917"/>
    <x v="2"/>
    <d v="2026-06-18T00:00:00"/>
    <d v="1899-12-30T08:30:00"/>
    <n v="0"/>
    <n v="55"/>
    <n v="6600"/>
    <n v="22.17"/>
    <s v="DRV-156"/>
    <s v="Rainy"/>
    <s v="Weekday"/>
    <x v="2"/>
  </r>
  <r>
    <s v="R-102"/>
    <x v="3"/>
    <s v="BUS-5234"/>
    <x v="0"/>
    <d v="2026-06-12T00:00:00"/>
    <d v="1899-12-30T12:45:00"/>
    <n v="0"/>
    <n v="73"/>
    <n v="5840"/>
    <n v="24.47"/>
    <s v="DRV-331"/>
    <s v="Foggy"/>
    <s v="Weekday"/>
    <x v="1"/>
  </r>
  <r>
    <s v="R-102"/>
    <x v="3"/>
    <s v="BUS-7988"/>
    <x v="2"/>
    <d v="2026-06-08T00:00:00"/>
    <d v="1899-12-30T20:00:00"/>
    <n v="51"/>
    <n v="60"/>
    <n v="6000"/>
    <n v="24.47"/>
    <s v="DRV-757"/>
    <s v="Clear"/>
    <s v="Weekday"/>
    <x v="0"/>
  </r>
  <r>
    <s v="R-103"/>
    <x v="2"/>
    <s v="BUS-3026"/>
    <x v="0"/>
    <d v="2026-06-08T00:00:00"/>
    <d v="1899-12-30T10:30:00"/>
    <n v="0"/>
    <n v="59"/>
    <n v="5900"/>
    <n v="22.3"/>
    <s v="DRV-534"/>
    <s v="Clear"/>
    <s v="Weekday"/>
    <x v="1"/>
  </r>
  <r>
    <s v="R-102"/>
    <x v="3"/>
    <s v="BUS-4744"/>
    <x v="0"/>
    <d v="2026-06-18T00:00:00"/>
    <d v="1899-12-30T13:15:00"/>
    <n v="54"/>
    <n v="15"/>
    <n v="1500"/>
    <n v="15.54"/>
    <s v="DRV-483"/>
    <s v="Foggy"/>
    <s v="Weekday"/>
    <x v="0"/>
  </r>
  <r>
    <s v="R-101"/>
    <x v="4"/>
    <s v="BUS-1009"/>
    <x v="1"/>
    <d v="2026-06-28T00:00:00"/>
    <d v="1899-12-30T21:45:00"/>
    <n v="0"/>
    <n v="68"/>
    <n v="8160"/>
    <n v="37.020000000000003"/>
    <s v="DRV-659"/>
    <s v="Foggy"/>
    <s v="Weekend"/>
    <x v="1"/>
  </r>
  <r>
    <s v="R-105"/>
    <x v="1"/>
    <s v="BUS-1260"/>
    <x v="3"/>
    <d v="2026-06-30T00:00:00"/>
    <d v="1899-12-30T06:45:00"/>
    <n v="0"/>
    <n v="24"/>
    <n v="2400"/>
    <n v="44.02"/>
    <s v="DRV-293"/>
    <s v="Foggy"/>
    <s v="Weekday"/>
    <x v="1"/>
  </r>
  <r>
    <s v="R-104"/>
    <x v="0"/>
    <s v="BUS-7038"/>
    <x v="2"/>
    <d v="2026-06-20T00:00:00"/>
    <d v="1899-12-30T10:30:00"/>
    <n v="36"/>
    <n v="39"/>
    <n v="3900"/>
    <n v="22.12"/>
    <s v="DRV-835"/>
    <s v="Rainy"/>
    <s v="Weekend"/>
    <x v="0"/>
  </r>
  <r>
    <s v="R-102"/>
    <x v="3"/>
    <s v="BUS-3219"/>
    <x v="1"/>
    <d v="2026-06-30T00:00:00"/>
    <d v="1899-12-30T06:45:00"/>
    <n v="19"/>
    <n v="51"/>
    <n v="5100"/>
    <n v="35.06"/>
    <s v="DRV-747"/>
    <s v="Clear"/>
    <s v="Weekday"/>
    <x v="0"/>
  </r>
  <r>
    <s v="R-101"/>
    <x v="4"/>
    <s v="BUS-8041"/>
    <x v="2"/>
    <d v="2026-06-15T00:00:00"/>
    <d v="1899-12-30T13:30:00"/>
    <n v="0"/>
    <n v="46"/>
    <n v="4600"/>
    <n v="37.39"/>
    <s v="DRV-633"/>
    <s v="Foggy"/>
    <s v="Weekday"/>
    <x v="1"/>
  </r>
  <r>
    <s v="R-104"/>
    <x v="0"/>
    <s v="BUS-3060"/>
    <x v="0"/>
    <d v="2026-06-27T00:00:00"/>
    <d v="1899-12-30T15:15:00"/>
    <n v="0"/>
    <n v="51"/>
    <n v="4080"/>
    <n v="40.53"/>
    <s v="DRV-617"/>
    <s v="Rainy"/>
    <s v="Weekend"/>
    <x v="1"/>
  </r>
  <r>
    <s v="R-105"/>
    <x v="1"/>
    <s v="BUS-6287"/>
    <x v="3"/>
    <d v="2026-06-07T00:00:00"/>
    <d v="1899-12-30T16:00:00"/>
    <n v="0"/>
    <n v="44"/>
    <n v="5280"/>
    <n v="27.97"/>
    <s v="DRV-815"/>
    <s v="Clear"/>
    <s v="Weekend"/>
    <x v="2"/>
  </r>
  <r>
    <s v="R-104"/>
    <x v="0"/>
    <s v="BUS-2619"/>
    <x v="2"/>
    <d v="2026-06-11T00:00:00"/>
    <d v="1899-12-30T15:00:00"/>
    <n v="0"/>
    <n v="15"/>
    <n v="1800"/>
    <n v="24.44"/>
    <s v="DRV-850"/>
    <s v="Overcast"/>
    <s v="Weekday"/>
    <x v="1"/>
  </r>
  <r>
    <s v="R-101"/>
    <x v="4"/>
    <s v="BUS-9512"/>
    <x v="2"/>
    <d v="2026-06-20T00:00:00"/>
    <d v="1899-12-30T19:30:00"/>
    <n v="0"/>
    <n v="77"/>
    <n v="6160"/>
    <n v="25.1"/>
    <s v="DRV-284"/>
    <s v="Rainy"/>
    <s v="Weekend"/>
    <x v="2"/>
  </r>
  <r>
    <s v="R-104"/>
    <x v="0"/>
    <s v="BUS-2342"/>
    <x v="0"/>
    <d v="2026-06-16T00:00:00"/>
    <d v="1899-12-30T07:00:00"/>
    <n v="27"/>
    <n v="27"/>
    <n v="2160"/>
    <n v="36.520000000000003"/>
    <s v="DRV-971"/>
    <s v="Clear"/>
    <s v="Weekday"/>
    <x v="0"/>
  </r>
  <r>
    <s v="R-103"/>
    <x v="2"/>
    <s v="BUS-3832"/>
    <x v="2"/>
    <d v="2026-06-04T00:00:00"/>
    <d v="1899-12-30T21:00:00"/>
    <n v="0"/>
    <n v="82"/>
    <n v="9840"/>
    <n v="39.590000000000003"/>
    <s v="DRV-391"/>
    <s v="Rainy"/>
    <s v="Weekday"/>
    <x v="1"/>
  </r>
  <r>
    <s v="R-104"/>
    <x v="0"/>
    <s v="BUS-3824"/>
    <x v="2"/>
    <d v="2026-06-06T00:00:00"/>
    <d v="1899-12-30T14:45:00"/>
    <n v="0"/>
    <n v="38"/>
    <n v="3800"/>
    <n v="20.86"/>
    <s v="DRV-434"/>
    <s v="Clear"/>
    <s v="Weekend"/>
    <x v="1"/>
  </r>
  <r>
    <s v="R-102"/>
    <x v="3"/>
    <s v="BUS-2994"/>
    <x v="0"/>
    <d v="2026-06-26T00:00:00"/>
    <d v="1899-12-30T09:15:00"/>
    <n v="38"/>
    <n v="68"/>
    <n v="6800"/>
    <n v="26.44"/>
    <s v="DRV-831"/>
    <s v="Clear"/>
    <s v="Weekday"/>
    <x v="0"/>
  </r>
  <r>
    <s v="R-102"/>
    <x v="3"/>
    <s v="BUS-4490"/>
    <x v="1"/>
    <d v="2026-06-22T00:00:00"/>
    <d v="1899-12-30T15:15:00"/>
    <n v="34"/>
    <n v="56"/>
    <n v="6720"/>
    <n v="42.11"/>
    <s v="DRV-215"/>
    <s v="Overcast"/>
    <s v="Weekday"/>
    <x v="0"/>
  </r>
  <r>
    <s v="R-103"/>
    <x v="2"/>
    <s v="BUS-8984"/>
    <x v="0"/>
    <d v="2026-06-26T00:00:00"/>
    <d v="1899-12-30T17:00:00"/>
    <n v="0"/>
    <n v="26"/>
    <n v="2600"/>
    <n v="39.299999999999997"/>
    <s v="DRV-924"/>
    <s v="Rainy"/>
    <s v="Weekday"/>
    <x v="1"/>
  </r>
  <r>
    <s v="R-101"/>
    <x v="4"/>
    <s v="BUS-2604"/>
    <x v="1"/>
    <d v="2026-06-03T00:00:00"/>
    <d v="1899-12-30T19:15:00"/>
    <n v="26"/>
    <n v="31"/>
    <n v="2480"/>
    <n v="44.55"/>
    <s v="DRV-148"/>
    <s v="Foggy"/>
    <s v="Weekday"/>
    <x v="0"/>
  </r>
  <r>
    <s v="R-102"/>
    <x v="3"/>
    <s v="BUS-1235"/>
    <x v="3"/>
    <d v="2026-06-09T00:00:00"/>
    <d v="1899-12-30T07:00:00"/>
    <n v="0"/>
    <n v="77"/>
    <n v="7700"/>
    <n v="37.75"/>
    <s v="DRV-784"/>
    <s v="Overcast"/>
    <s v="Weekday"/>
    <x v="1"/>
  </r>
  <r>
    <s v="R-105"/>
    <x v="1"/>
    <s v="BUS-2908"/>
    <x v="1"/>
    <d v="2026-06-28T00:00:00"/>
    <d v="1899-12-30T16:45:00"/>
    <n v="0"/>
    <n v="78"/>
    <n v="7800"/>
    <n v="27.1"/>
    <s v="DRV-181"/>
    <s v="Overcast"/>
    <s v="Weekend"/>
    <x v="1"/>
  </r>
  <r>
    <s v="R-102"/>
    <x v="3"/>
    <s v="BUS-9567"/>
    <x v="1"/>
    <d v="2026-06-10T00:00:00"/>
    <d v="1899-12-30T11:45:00"/>
    <n v="20"/>
    <n v="46"/>
    <n v="4600"/>
    <n v="32.92"/>
    <s v="DRV-933"/>
    <s v="Clear"/>
    <s v="Weekday"/>
    <x v="0"/>
  </r>
  <r>
    <s v="R-102"/>
    <x v="3"/>
    <s v="BUS-4530"/>
    <x v="3"/>
    <d v="2026-06-14T00:00:00"/>
    <d v="1899-12-30T10:15:00"/>
    <n v="0"/>
    <n v="58"/>
    <n v="6960"/>
    <n v="35"/>
    <s v="DRV-432"/>
    <s v="Foggy"/>
    <s v="Weekend"/>
    <x v="2"/>
  </r>
  <r>
    <s v="R-101"/>
    <x v="4"/>
    <s v="BUS-6256"/>
    <x v="1"/>
    <d v="2026-06-11T00:00:00"/>
    <d v="1899-12-30T09:30:00"/>
    <n v="60"/>
    <n v="22"/>
    <n v="1760"/>
    <n v="17.809999999999999"/>
    <s v="DRV-656"/>
    <s v="Rainy"/>
    <s v="Weekday"/>
    <x v="0"/>
  </r>
  <r>
    <s v="R-104"/>
    <x v="0"/>
    <s v="BUS-3635"/>
    <x v="0"/>
    <d v="2026-06-18T00:00:00"/>
    <d v="1899-12-30T09:45:00"/>
    <n v="43"/>
    <n v="43"/>
    <n v="4300"/>
    <n v="31.56"/>
    <s v="DRV-434"/>
    <s v="Foggy"/>
    <s v="Weekday"/>
    <x v="0"/>
  </r>
  <r>
    <s v="R-102"/>
    <x v="3"/>
    <s v="BUS-9162"/>
    <x v="1"/>
    <d v="2026-06-22T00:00:00"/>
    <d v="1899-12-30T15:45:00"/>
    <n v="37"/>
    <n v="62"/>
    <n v="7440"/>
    <n v="36.42"/>
    <s v="DRV-631"/>
    <s v="Foggy"/>
    <s v="Weekday"/>
    <x v="0"/>
  </r>
  <r>
    <s v="R-103"/>
    <x v="2"/>
    <s v="BUS-3560"/>
    <x v="3"/>
    <d v="2026-06-12T00:00:00"/>
    <d v="1899-12-30T08:15:00"/>
    <n v="12"/>
    <n v="60"/>
    <n v="6000"/>
    <n v="20.440000000000001"/>
    <s v="DRV-320"/>
    <s v="Foggy"/>
    <s v="Weekday"/>
    <x v="0"/>
  </r>
  <r>
    <s v="R-104"/>
    <x v="0"/>
    <s v="BUS-6415"/>
    <x v="0"/>
    <d v="2026-06-23T00:00:00"/>
    <d v="1899-12-30T10:15:00"/>
    <n v="20"/>
    <n v="12"/>
    <n v="960"/>
    <n v="38.53"/>
    <s v="DRV-734"/>
    <s v="Foggy"/>
    <s v="Weekday"/>
    <x v="0"/>
  </r>
  <r>
    <s v="R-105"/>
    <x v="1"/>
    <s v="BUS-4391"/>
    <x v="3"/>
    <d v="2026-06-12T00:00:00"/>
    <d v="1899-12-30T13:30:00"/>
    <n v="0"/>
    <n v="51"/>
    <n v="5100"/>
    <n v="32.72"/>
    <s v="DRV-845"/>
    <s v="Foggy"/>
    <s v="Weekday"/>
    <x v="1"/>
  </r>
  <r>
    <s v="R-101"/>
    <x v="4"/>
    <s v="BUS-6951"/>
    <x v="3"/>
    <d v="2026-06-13T00:00:00"/>
    <d v="1899-12-30T15:15:00"/>
    <n v="0"/>
    <n v="41"/>
    <n v="3280"/>
    <n v="43.59"/>
    <s v="DRV-832"/>
    <s v="Clear"/>
    <s v="Weekend"/>
    <x v="1"/>
  </r>
  <r>
    <s v="R-105"/>
    <x v="1"/>
    <s v="BUS-6468"/>
    <x v="2"/>
    <d v="2026-06-25T00:00:00"/>
    <d v="1899-12-30T19:45:00"/>
    <n v="0"/>
    <n v="60"/>
    <n v="6000"/>
    <n v="16.75"/>
    <s v="DRV-422"/>
    <s v="Clear"/>
    <s v="Weekday"/>
    <x v="1"/>
  </r>
  <r>
    <s v="R-104"/>
    <x v="0"/>
    <s v="BUS-9007"/>
    <x v="2"/>
    <d v="2026-06-13T00:00:00"/>
    <d v="1899-12-30T18:45:00"/>
    <n v="0"/>
    <n v="55"/>
    <n v="4400"/>
    <n v="23.33"/>
    <s v="DRV-950"/>
    <s v="Overcast"/>
    <s v="Weekend"/>
    <x v="1"/>
  </r>
  <r>
    <s v="R-104"/>
    <x v="0"/>
    <s v="BUS-7413"/>
    <x v="3"/>
    <d v="2026-06-19T00:00:00"/>
    <d v="1899-12-30T22:30:00"/>
    <n v="57"/>
    <n v="30"/>
    <n v="3000"/>
    <n v="33.25"/>
    <s v="DRV-102"/>
    <s v="Clear"/>
    <s v="Weekday"/>
    <x v="0"/>
  </r>
  <r>
    <s v="R-104"/>
    <x v="0"/>
    <s v="BUS-7941"/>
    <x v="3"/>
    <d v="2026-06-26T00:00:00"/>
    <d v="1899-12-30T12:45:00"/>
    <n v="0"/>
    <n v="53"/>
    <n v="4240"/>
    <n v="24.25"/>
    <s v="DRV-793"/>
    <s v="Overcast"/>
    <s v="Weekday"/>
    <x v="2"/>
  </r>
  <r>
    <s v="R-105"/>
    <x v="1"/>
    <s v="BUS-5820"/>
    <x v="3"/>
    <d v="2026-06-19T00:00:00"/>
    <d v="1899-12-30T19:30:00"/>
    <n v="0"/>
    <n v="20"/>
    <n v="2000"/>
    <n v="36.58"/>
    <s v="DRV-305"/>
    <s v="Overcast"/>
    <s v="Weekday"/>
    <x v="1"/>
  </r>
  <r>
    <s v="R-104"/>
    <x v="0"/>
    <s v="BUS-3898"/>
    <x v="2"/>
    <d v="2026-06-23T00:00:00"/>
    <d v="1899-12-30T10:45:00"/>
    <n v="48"/>
    <n v="77"/>
    <n v="7700"/>
    <n v="37.89"/>
    <s v="DRV-931"/>
    <s v="Rainy"/>
    <s v="Weekday"/>
    <x v="0"/>
  </r>
  <r>
    <s v="R-105"/>
    <x v="1"/>
    <s v="BUS-8546"/>
    <x v="2"/>
    <d v="2026-06-14T00:00:00"/>
    <d v="1899-12-30T09:45:00"/>
    <n v="39"/>
    <n v="10"/>
    <n v="1200"/>
    <n v="18.52"/>
    <s v="DRV-139"/>
    <s v="Foggy"/>
    <s v="Weekend"/>
    <x v="0"/>
  </r>
  <r>
    <s v="R-104"/>
    <x v="0"/>
    <s v="BUS-1077"/>
    <x v="1"/>
    <d v="2026-06-04T00:00:00"/>
    <d v="1899-12-30T07:15:00"/>
    <n v="17"/>
    <n v="72"/>
    <n v="8640"/>
    <n v="30.66"/>
    <s v="DRV-158"/>
    <s v="Clear"/>
    <s v="Weekday"/>
    <x v="0"/>
  </r>
  <r>
    <s v="R-103"/>
    <x v="2"/>
    <s v="BUS-8577"/>
    <x v="1"/>
    <d v="2026-06-13T00:00:00"/>
    <d v="1899-12-30T22:30:00"/>
    <n v="60"/>
    <n v="33"/>
    <n v="2640"/>
    <n v="30.51"/>
    <s v="DRV-673"/>
    <s v="Rainy"/>
    <s v="Weekend"/>
    <x v="0"/>
  </r>
  <r>
    <s v="R-104"/>
    <x v="0"/>
    <s v="BUS-5227"/>
    <x v="3"/>
    <d v="2026-06-08T00:00:00"/>
    <d v="1899-12-30T19:30:00"/>
    <n v="0"/>
    <n v="22"/>
    <n v="2200"/>
    <n v="26.39"/>
    <s v="DRV-743"/>
    <s v="Clear"/>
    <s v="Weekday"/>
    <x v="1"/>
  </r>
  <r>
    <s v="R-105"/>
    <x v="1"/>
    <s v="BUS-1600"/>
    <x v="0"/>
    <d v="2026-06-29T00:00:00"/>
    <d v="1899-12-30T18:45:00"/>
    <n v="57"/>
    <n v="20"/>
    <n v="1600"/>
    <n v="43.02"/>
    <s v="DRV-606"/>
    <s v="Overcast"/>
    <s v="Weekday"/>
    <x v="0"/>
  </r>
  <r>
    <s v="R-102"/>
    <x v="3"/>
    <s v="BUS-2065"/>
    <x v="0"/>
    <d v="2026-06-23T00:00:00"/>
    <d v="1899-12-30T11:00:00"/>
    <n v="41"/>
    <n v="60"/>
    <n v="7200"/>
    <n v="39.909999999999997"/>
    <s v="DRV-671"/>
    <s v="Clear"/>
    <s v="Weekday"/>
    <x v="0"/>
  </r>
  <r>
    <s v="R-104"/>
    <x v="0"/>
    <s v="BUS-3136"/>
    <x v="2"/>
    <d v="2026-06-21T00:00:00"/>
    <d v="1899-12-30T09:45:00"/>
    <n v="31"/>
    <n v="26"/>
    <n v="2080"/>
    <n v="36.07"/>
    <s v="DRV-983"/>
    <s v="Foggy"/>
    <s v="Weekend"/>
    <x v="0"/>
  </r>
  <r>
    <s v="R-102"/>
    <x v="3"/>
    <s v="BUS-7943"/>
    <x v="2"/>
    <d v="2026-06-23T00:00:00"/>
    <d v="1899-12-30T21:00:00"/>
    <n v="0"/>
    <n v="33"/>
    <n v="2640"/>
    <n v="36.57"/>
    <s v="DRV-942"/>
    <s v="Overcast"/>
    <s v="Weekday"/>
    <x v="1"/>
  </r>
  <r>
    <s v="R-103"/>
    <x v="2"/>
    <s v="BUS-8804"/>
    <x v="2"/>
    <d v="2026-06-19T00:00:00"/>
    <d v="1899-12-30T09:15:00"/>
    <n v="18"/>
    <n v="28"/>
    <n v="3360"/>
    <n v="29.12"/>
    <s v="DRV-221"/>
    <s v="Overcast"/>
    <s v="Weekday"/>
    <x v="0"/>
  </r>
  <r>
    <s v="R-101"/>
    <x v="4"/>
    <s v="BUS-7565"/>
    <x v="3"/>
    <d v="2026-06-12T00:00:00"/>
    <d v="1899-12-30T22:30:00"/>
    <n v="54"/>
    <n v="46"/>
    <n v="4600"/>
    <n v="42.67"/>
    <s v="DRV-578"/>
    <s v="Rainy"/>
    <s v="Weekday"/>
    <x v="0"/>
  </r>
  <r>
    <s v="R-103"/>
    <x v="2"/>
    <s v="BUS-6984"/>
    <x v="0"/>
    <d v="2026-06-18T00:00:00"/>
    <d v="1899-12-30T06:15:00"/>
    <n v="0"/>
    <n v="17"/>
    <n v="1360"/>
    <n v="35.99"/>
    <s v="DRV-718"/>
    <s v="Foggy"/>
    <s v="Weekday"/>
    <x v="1"/>
  </r>
  <r>
    <s v="R-104"/>
    <x v="0"/>
    <s v="BUS-6142"/>
    <x v="1"/>
    <d v="2026-06-06T00:00:00"/>
    <d v="1899-12-30T22:30:00"/>
    <n v="0"/>
    <n v="37"/>
    <n v="4440"/>
    <n v="37"/>
    <s v="DRV-195"/>
    <s v="Overcast"/>
    <s v="Weekend"/>
    <x v="2"/>
  </r>
  <r>
    <s v="R-102"/>
    <x v="3"/>
    <s v="BUS-5670"/>
    <x v="3"/>
    <d v="2026-06-18T00:00:00"/>
    <d v="1899-12-30T20:30:00"/>
    <n v="17"/>
    <n v="14"/>
    <n v="1400"/>
    <n v="40.92"/>
    <s v="DRV-958"/>
    <s v="Foggy"/>
    <s v="Weekday"/>
    <x v="0"/>
  </r>
  <r>
    <s v="R-102"/>
    <x v="3"/>
    <s v="BUS-3190"/>
    <x v="1"/>
    <d v="2026-06-19T00:00:00"/>
    <d v="1899-12-30T18:00:00"/>
    <n v="63"/>
    <n v="26"/>
    <n v="3120"/>
    <n v="23.59"/>
    <s v="DRV-513"/>
    <s v="Clear"/>
    <s v="Weekday"/>
    <x v="0"/>
  </r>
  <r>
    <s v="R-105"/>
    <x v="1"/>
    <s v="BUS-3712"/>
    <x v="1"/>
    <d v="2026-06-22T00:00:00"/>
    <d v="1899-12-30T22:15:00"/>
    <n v="0"/>
    <n v="45"/>
    <n v="3600"/>
    <n v="39.31"/>
    <s v="DRV-334"/>
    <s v="Foggy"/>
    <s v="Weekday"/>
    <x v="2"/>
  </r>
  <r>
    <s v="R-102"/>
    <x v="3"/>
    <s v="BUS-3192"/>
    <x v="3"/>
    <d v="2026-06-05T00:00:00"/>
    <d v="1899-12-30T09:45:00"/>
    <n v="0"/>
    <n v="28"/>
    <n v="2800"/>
    <n v="21.26"/>
    <s v="DRV-997"/>
    <s v="Overcast"/>
    <s v="Weekday"/>
    <x v="2"/>
  </r>
  <r>
    <s v="R-105"/>
    <x v="1"/>
    <s v="BUS-2248"/>
    <x v="1"/>
    <d v="2026-06-24T00:00:00"/>
    <d v="1899-12-30T21:30:00"/>
    <n v="0"/>
    <n v="73"/>
    <n v="7300"/>
    <n v="25.69"/>
    <s v="DRV-161"/>
    <s v="Rainy"/>
    <s v="Weekday"/>
    <x v="1"/>
  </r>
  <r>
    <s v="R-101"/>
    <x v="4"/>
    <s v="BUS-5033"/>
    <x v="0"/>
    <d v="2026-06-09T00:00:00"/>
    <d v="1899-12-30T20:15:00"/>
    <n v="0"/>
    <n v="20"/>
    <n v="2400"/>
    <n v="25.4"/>
    <s v="DRV-355"/>
    <s v="Overcast"/>
    <s v="Weekday"/>
    <x v="2"/>
  </r>
  <r>
    <s v="R-104"/>
    <x v="0"/>
    <s v="BUS-2997"/>
    <x v="1"/>
    <d v="2026-06-27T00:00:00"/>
    <d v="1899-12-30T20:15:00"/>
    <n v="54"/>
    <n v="63"/>
    <n v="7560"/>
    <n v="44.37"/>
    <s v="DRV-660"/>
    <s v="Foggy"/>
    <s v="Weekend"/>
    <x v="0"/>
  </r>
  <r>
    <s v="R-105"/>
    <x v="1"/>
    <s v="BUS-4687"/>
    <x v="0"/>
    <d v="2026-06-03T00:00:00"/>
    <d v="1899-12-30T16:30:00"/>
    <n v="49"/>
    <n v="54"/>
    <n v="6480"/>
    <n v="40.770000000000003"/>
    <s v="DRV-447"/>
    <s v="Foggy"/>
    <s v="Weekday"/>
    <x v="0"/>
  </r>
  <r>
    <s v="R-101"/>
    <x v="4"/>
    <s v="BUS-5018"/>
    <x v="0"/>
    <d v="2026-06-28T00:00:00"/>
    <d v="1899-12-30T14:15:00"/>
    <n v="16"/>
    <n v="56"/>
    <n v="5600"/>
    <n v="36.18"/>
    <s v="DRV-770"/>
    <s v="Overcast"/>
    <s v="Weekend"/>
    <x v="0"/>
  </r>
  <r>
    <s v="R-102"/>
    <x v="3"/>
    <s v="BUS-2970"/>
    <x v="0"/>
    <d v="2026-06-10T00:00:00"/>
    <d v="1899-12-30T21:00:00"/>
    <n v="36"/>
    <n v="21"/>
    <n v="2100"/>
    <n v="36.950000000000003"/>
    <s v="DRV-223"/>
    <s v="Foggy"/>
    <s v="Weekday"/>
    <x v="0"/>
  </r>
  <r>
    <s v="R-102"/>
    <x v="3"/>
    <s v="BUS-9389"/>
    <x v="2"/>
    <d v="2026-06-19T00:00:00"/>
    <d v="1899-12-30T15:15:00"/>
    <n v="10"/>
    <n v="30"/>
    <n v="2400"/>
    <n v="32.08"/>
    <s v="DRV-581"/>
    <s v="Clear"/>
    <s v="Weekday"/>
    <x v="0"/>
  </r>
  <r>
    <s v="R-101"/>
    <x v="4"/>
    <s v="BUS-6765"/>
    <x v="1"/>
    <d v="2026-06-03T00:00:00"/>
    <d v="1899-12-30T08:00:00"/>
    <n v="0"/>
    <n v="20"/>
    <n v="2000"/>
    <n v="43.44"/>
    <s v="DRV-416"/>
    <s v="Overcast"/>
    <s v="Weekday"/>
    <x v="2"/>
  </r>
  <r>
    <s v="R-102"/>
    <x v="3"/>
    <s v="BUS-2202"/>
    <x v="3"/>
    <d v="2026-06-29T00:00:00"/>
    <d v="1899-12-30T16:00:00"/>
    <n v="0"/>
    <n v="14"/>
    <n v="1120"/>
    <n v="30.14"/>
    <s v="DRV-603"/>
    <s v="Rainy"/>
    <s v="Weekday"/>
    <x v="2"/>
  </r>
  <r>
    <s v="R-101"/>
    <x v="4"/>
    <s v="BUS-9135"/>
    <x v="3"/>
    <d v="2026-06-29T00:00:00"/>
    <d v="1899-12-30T18:15:00"/>
    <n v="0"/>
    <n v="65"/>
    <n v="7800"/>
    <n v="26.73"/>
    <s v="DRV-818"/>
    <s v="Overcast"/>
    <s v="Weekday"/>
    <x v="1"/>
  </r>
  <r>
    <s v="R-105"/>
    <x v="1"/>
    <s v="BUS-6567"/>
    <x v="1"/>
    <d v="2026-06-22T00:00:00"/>
    <d v="1899-12-30T22:30:00"/>
    <n v="16"/>
    <n v="29"/>
    <n v="3480"/>
    <n v="20.309999999999999"/>
    <s v="DRV-147"/>
    <s v="Clear"/>
    <s v="Weekday"/>
    <x v="0"/>
  </r>
  <r>
    <s v="R-105"/>
    <x v="1"/>
    <s v="BUS-8667"/>
    <x v="2"/>
    <d v="2026-06-15T00:00:00"/>
    <d v="1899-12-30T18:30:00"/>
    <n v="0"/>
    <n v="50"/>
    <n v="5000"/>
    <n v="38.69"/>
    <s v="DRV-508"/>
    <s v="Clear"/>
    <s v="Weekday"/>
    <x v="1"/>
  </r>
  <r>
    <s v="R-101"/>
    <x v="4"/>
    <s v="BUS-6742"/>
    <x v="2"/>
    <d v="2026-06-01T00:00:00"/>
    <d v="1899-12-30T15:30:00"/>
    <n v="0"/>
    <n v="55"/>
    <n v="6600"/>
    <n v="37.17"/>
    <s v="DRV-235"/>
    <s v="Clear"/>
    <s v="Weekday"/>
    <x v="1"/>
  </r>
  <r>
    <s v="R-105"/>
    <x v="1"/>
    <s v="BUS-6788"/>
    <x v="0"/>
    <d v="2026-06-07T00:00:00"/>
    <d v="1899-12-30T19:15:00"/>
    <n v="0"/>
    <n v="21"/>
    <n v="2520"/>
    <n v="26.84"/>
    <s v="DRV-300"/>
    <s v="Clear"/>
    <s v="Weekend"/>
    <x v="1"/>
  </r>
  <r>
    <s v="R-105"/>
    <x v="1"/>
    <s v="BUS-6408"/>
    <x v="1"/>
    <d v="2026-06-12T00:00:00"/>
    <d v="1899-12-30T10:00:00"/>
    <n v="0"/>
    <n v="79"/>
    <n v="7900"/>
    <n v="16.239999999999998"/>
    <s v="DRV-349"/>
    <s v="Clear"/>
    <s v="Weekday"/>
    <x v="2"/>
  </r>
  <r>
    <s v="R-105"/>
    <x v="1"/>
    <s v="BUS-9669"/>
    <x v="1"/>
    <d v="2026-06-17T00:00:00"/>
    <d v="1899-12-30T10:45:00"/>
    <n v="0"/>
    <n v="26"/>
    <n v="2080"/>
    <n v="40.25"/>
    <s v="DRV-413"/>
    <s v="Rainy"/>
    <s v="Weekday"/>
    <x v="1"/>
  </r>
  <r>
    <s v="R-103"/>
    <x v="2"/>
    <s v="BUS-1922"/>
    <x v="3"/>
    <d v="2026-06-30T00:00:00"/>
    <d v="1899-12-30T22:00:00"/>
    <n v="0"/>
    <n v="28"/>
    <n v="2800"/>
    <n v="15.84"/>
    <s v="DRV-968"/>
    <s v="Foggy"/>
    <s v="Weekday"/>
    <x v="1"/>
  </r>
  <r>
    <s v="R-104"/>
    <x v="0"/>
    <s v="BUS-1419"/>
    <x v="1"/>
    <d v="2026-06-21T00:00:00"/>
    <d v="1899-12-30T15:45:00"/>
    <n v="42"/>
    <n v="35"/>
    <n v="2800"/>
    <n v="36.26"/>
    <s v="DRV-467"/>
    <s v="Clear"/>
    <s v="Weekend"/>
    <x v="0"/>
  </r>
  <r>
    <s v="R-102"/>
    <x v="3"/>
    <s v="BUS-3204"/>
    <x v="2"/>
    <d v="2026-06-26T00:00:00"/>
    <d v="1899-12-30T10:45:00"/>
    <n v="0"/>
    <n v="57"/>
    <n v="5700"/>
    <n v="44.12"/>
    <s v="DRV-528"/>
    <s v="Clear"/>
    <s v="Weekday"/>
    <x v="2"/>
  </r>
  <r>
    <s v="R-103"/>
    <x v="2"/>
    <s v="BUS-2120"/>
    <x v="1"/>
    <d v="2026-06-29T00:00:00"/>
    <d v="1899-12-30T11:15:00"/>
    <n v="0"/>
    <n v="61"/>
    <n v="6100"/>
    <n v="28.41"/>
    <s v="DRV-929"/>
    <s v="Overcast"/>
    <s v="Weekday"/>
    <x v="2"/>
  </r>
  <r>
    <s v="R-105"/>
    <x v="1"/>
    <s v="BUS-1950"/>
    <x v="3"/>
    <d v="2026-06-24T00:00:00"/>
    <d v="1899-12-30T09:15:00"/>
    <n v="0"/>
    <n v="79"/>
    <n v="9480"/>
    <n v="22.43"/>
    <s v="DRV-906"/>
    <s v="Rainy"/>
    <s v="Weekday"/>
    <x v="1"/>
  </r>
  <r>
    <s v="R-101"/>
    <x v="4"/>
    <s v="BUS-3336"/>
    <x v="0"/>
    <d v="2026-06-20T00:00:00"/>
    <d v="1899-12-30T12:30:00"/>
    <n v="0"/>
    <n v="64"/>
    <n v="6400"/>
    <n v="36.29"/>
    <s v="DRV-579"/>
    <s v="Rainy"/>
    <s v="Weekend"/>
    <x v="2"/>
  </r>
  <r>
    <s v="R-105"/>
    <x v="1"/>
    <s v="BUS-6373"/>
    <x v="3"/>
    <d v="2026-06-05T00:00:00"/>
    <d v="1899-12-30T08:00:00"/>
    <n v="0"/>
    <n v="84"/>
    <n v="8400"/>
    <n v="30.105"/>
    <s v="DRV-413"/>
    <s v="Foggy"/>
    <s v="Weekday"/>
    <x v="1"/>
  </r>
  <r>
    <s v="R-104"/>
    <x v="0"/>
    <s v="BUS-3243"/>
    <x v="3"/>
    <d v="2026-06-04T00:00:00"/>
    <d v="1899-12-30T09:15:00"/>
    <n v="44"/>
    <n v="42"/>
    <n v="3360"/>
    <n v="31.62"/>
    <s v="DRV-599"/>
    <s v="Rainy"/>
    <s v="Weekday"/>
    <x v="0"/>
  </r>
  <r>
    <s v="R-105"/>
    <x v="1"/>
    <s v="BUS-3645"/>
    <x v="0"/>
    <d v="2026-06-28T00:00:00"/>
    <d v="1899-12-30T14:15:00"/>
    <n v="0"/>
    <n v="71"/>
    <n v="8520"/>
    <n v="44.03"/>
    <s v="DRV-820"/>
    <s v="Overcast"/>
    <s v="Weekend"/>
    <x v="1"/>
  </r>
  <r>
    <s v="R-101"/>
    <x v="4"/>
    <s v="BUS-5612"/>
    <x v="3"/>
    <d v="2026-06-12T00:00:00"/>
    <d v="1899-12-30T19:45:00"/>
    <n v="0"/>
    <n v="32"/>
    <n v="2560"/>
    <n v="17.02"/>
    <s v="DRV-454"/>
    <s v="Overcast"/>
    <s v="Weekday"/>
    <x v="2"/>
  </r>
  <r>
    <s v="R-104"/>
    <x v="0"/>
    <s v="BUS-2865"/>
    <x v="3"/>
    <d v="2026-06-30T00:00:00"/>
    <d v="1899-12-30T17:45:00"/>
    <n v="0"/>
    <n v="24"/>
    <n v="1920"/>
    <n v="30.39"/>
    <s v="DRV-584"/>
    <s v="Foggy"/>
    <s v="Weekday"/>
    <x v="2"/>
  </r>
  <r>
    <s v="R-105"/>
    <x v="1"/>
    <s v="BUS-7028"/>
    <x v="1"/>
    <d v="2026-06-20T00:00:00"/>
    <d v="1899-12-30T09:00:00"/>
    <n v="0"/>
    <n v="36"/>
    <n v="4320"/>
    <n v="36.69"/>
    <s v="DRV-310"/>
    <s v="Overcast"/>
    <s v="Weekend"/>
    <x v="1"/>
  </r>
  <r>
    <s v="R-104"/>
    <x v="0"/>
    <s v="BUS-8326"/>
    <x v="1"/>
    <d v="2026-06-28T00:00:00"/>
    <d v="1899-12-30T17:15:00"/>
    <n v="0"/>
    <n v="84"/>
    <n v="10080"/>
    <n v="40.950000000000003"/>
    <s v="DRV-803"/>
    <s v="Clear"/>
    <s v="Weekend"/>
    <x v="1"/>
  </r>
  <r>
    <s v="R-102"/>
    <x v="3"/>
    <s v="BUS-7371"/>
    <x v="0"/>
    <d v="2026-06-24T00:00:00"/>
    <d v="1899-12-30T12:30:00"/>
    <n v="0"/>
    <n v="73"/>
    <n v="8760"/>
    <n v="20.79"/>
    <s v="DRV-143"/>
    <s v="Clear"/>
    <s v="Weekday"/>
    <x v="1"/>
  </r>
  <r>
    <s v="R-102"/>
    <x v="3"/>
    <s v="BUS-7359"/>
    <x v="1"/>
    <d v="2026-06-18T00:00:00"/>
    <d v="1899-12-30T19:45:00"/>
    <n v="56"/>
    <n v="60"/>
    <n v="6000"/>
    <n v="39.1"/>
    <s v="DRV-640"/>
    <s v="Overcast"/>
    <s v="Weekday"/>
    <x v="0"/>
  </r>
  <r>
    <s v="R-105"/>
    <x v="1"/>
    <s v="BUS-8863"/>
    <x v="1"/>
    <d v="2026-06-17T00:00:00"/>
    <d v="1899-12-30T15:45:00"/>
    <n v="0"/>
    <n v="62"/>
    <n v="7440"/>
    <n v="31.8"/>
    <s v="DRV-670"/>
    <s v="Foggy"/>
    <s v="Weekday"/>
    <x v="2"/>
  </r>
  <r>
    <s v="R-104"/>
    <x v="0"/>
    <s v="BUS-4228"/>
    <x v="3"/>
    <d v="2026-06-19T00:00:00"/>
    <d v="1899-12-30T21:15:00"/>
    <n v="0"/>
    <n v="60"/>
    <n v="7200"/>
    <n v="27.2"/>
    <s v="DRV-682"/>
    <s v="Rainy"/>
    <s v="Weekday"/>
    <x v="2"/>
  </r>
  <r>
    <s v="R-101"/>
    <x v="4"/>
    <s v="BUS-4719"/>
    <x v="2"/>
    <d v="2026-06-09T00:00:00"/>
    <d v="1899-12-30T15:00:00"/>
    <n v="23"/>
    <n v="56"/>
    <n v="6720"/>
    <n v="19.39"/>
    <s v="DRV-191"/>
    <s v="Foggy"/>
    <s v="Weekday"/>
    <x v="0"/>
  </r>
  <r>
    <s v="R-105"/>
    <x v="1"/>
    <s v="BUS-3371"/>
    <x v="1"/>
    <d v="2026-06-04T00:00:00"/>
    <d v="1899-12-30T18:15:00"/>
    <n v="0"/>
    <n v="13"/>
    <n v="1040"/>
    <n v="41.03"/>
    <s v="DRV-364"/>
    <s v="Rainy"/>
    <s v="Weekday"/>
    <x v="1"/>
  </r>
  <r>
    <s v="R-102"/>
    <x v="3"/>
    <s v="BUS-3891"/>
    <x v="2"/>
    <d v="2026-06-26T00:00:00"/>
    <d v="1899-12-30T17:00:00"/>
    <n v="40"/>
    <n v="16"/>
    <n v="1280"/>
    <n v="20.14"/>
    <s v="DRV-994"/>
    <s v="Overcast"/>
    <s v="Weekday"/>
    <x v="0"/>
  </r>
  <r>
    <s v="R-102"/>
    <x v="3"/>
    <s v="BUS-4756"/>
    <x v="1"/>
    <d v="2026-06-21T00:00:00"/>
    <d v="1899-12-30T18:45:00"/>
    <n v="0"/>
    <n v="44"/>
    <n v="4400"/>
    <n v="24.64"/>
    <s v="DRV-319"/>
    <s v="Overcast"/>
    <s v="Weekend"/>
    <x v="1"/>
  </r>
  <r>
    <s v="R-105"/>
    <x v="1"/>
    <s v="BUS-5225"/>
    <x v="1"/>
    <d v="2026-06-02T00:00:00"/>
    <d v="1899-12-30T16:45:00"/>
    <n v="0"/>
    <n v="57"/>
    <n v="4560"/>
    <n v="24.06"/>
    <s v="DRV-541"/>
    <s v="Clear"/>
    <s v="Weekday"/>
    <x v="1"/>
  </r>
  <r>
    <s v="R-104"/>
    <x v="0"/>
    <s v="BUS-1094"/>
    <x v="0"/>
    <d v="2026-06-04T00:00:00"/>
    <d v="1899-12-30T16:00:00"/>
    <n v="33"/>
    <n v="82"/>
    <n v="8200"/>
    <n v="41.21"/>
    <s v="DRV-500"/>
    <s v="Rainy"/>
    <s v="Weekday"/>
    <x v="0"/>
  </r>
  <r>
    <s v="R-102"/>
    <x v="3"/>
    <s v="BUS-3674"/>
    <x v="0"/>
    <d v="2026-06-02T00:00:00"/>
    <d v="1899-12-30T09:15:00"/>
    <n v="0"/>
    <n v="81"/>
    <n v="6480"/>
    <n v="35.340000000000003"/>
    <s v="DRV-499"/>
    <s v="Foggy"/>
    <s v="Weekday"/>
    <x v="2"/>
  </r>
  <r>
    <s v="R-104"/>
    <x v="0"/>
    <s v="BUS-7898"/>
    <x v="0"/>
    <d v="2026-06-15T00:00:00"/>
    <d v="1899-12-30T06:30:00"/>
    <n v="0"/>
    <n v="54"/>
    <n v="6480"/>
    <n v="39"/>
    <s v="DRV-826"/>
    <s v="Overcast"/>
    <s v="Weekday"/>
    <x v="1"/>
  </r>
  <r>
    <s v="R-102"/>
    <x v="3"/>
    <s v="BUS-1793"/>
    <x v="2"/>
    <d v="2026-06-02T00:00:00"/>
    <d v="1899-12-30T12:15:00"/>
    <n v="0"/>
    <n v="81"/>
    <n v="6480"/>
    <n v="22.89"/>
    <s v="DRV-998"/>
    <s v="Foggy"/>
    <s v="Weekday"/>
    <x v="2"/>
  </r>
  <r>
    <s v="R-102"/>
    <x v="3"/>
    <s v="BUS-3116"/>
    <x v="3"/>
    <d v="2026-06-04T00:00:00"/>
    <d v="1899-12-30T20:15:00"/>
    <n v="0"/>
    <n v="28"/>
    <n v="2800"/>
    <n v="33.93"/>
    <s v="DRV-888"/>
    <s v="Clear"/>
    <s v="Weekday"/>
    <x v="1"/>
  </r>
  <r>
    <s v="R-103"/>
    <x v="2"/>
    <s v="BUS-6779"/>
    <x v="1"/>
    <d v="2026-06-06T00:00:00"/>
    <d v="1899-12-30T16:45:00"/>
    <n v="0"/>
    <n v="72"/>
    <n v="5760"/>
    <n v="32.369999999999997"/>
    <s v="DRV-675"/>
    <s v="Rainy"/>
    <s v="Weekend"/>
    <x v="2"/>
  </r>
  <r>
    <s v="R-102"/>
    <x v="3"/>
    <s v="BUS-7166"/>
    <x v="1"/>
    <d v="2026-06-07T00:00:00"/>
    <d v="1899-12-30T20:45:00"/>
    <n v="23"/>
    <n v="47"/>
    <n v="5640"/>
    <n v="40.07"/>
    <s v="DRV-957"/>
    <s v="Rainy"/>
    <s v="Weekend"/>
    <x v="0"/>
  </r>
  <r>
    <s v="R-101"/>
    <x v="4"/>
    <s v="BUS-1814"/>
    <x v="1"/>
    <d v="2026-06-10T00:00:00"/>
    <d v="1899-12-30T12:00:00"/>
    <n v="59"/>
    <n v="76"/>
    <n v="7600"/>
    <n v="42.23"/>
    <s v="DRV-903"/>
    <s v="Overcast"/>
    <s v="Weekday"/>
    <x v="0"/>
  </r>
  <r>
    <s v="R-105"/>
    <x v="1"/>
    <s v="BUS-1345"/>
    <x v="2"/>
    <d v="2026-06-19T00:00:00"/>
    <d v="1899-12-30T15:15:00"/>
    <n v="0"/>
    <n v="68"/>
    <n v="8160"/>
    <n v="15.86"/>
    <s v="DRV-589"/>
    <s v="Rainy"/>
    <s v="Weekday"/>
    <x v="1"/>
  </r>
  <r>
    <s v="R-105"/>
    <x v="1"/>
    <s v="BUS-9554"/>
    <x v="0"/>
    <d v="2026-06-19T00:00:00"/>
    <d v="1899-12-30T17:45:00"/>
    <n v="0"/>
    <n v="78"/>
    <n v="9360"/>
    <n v="35.380000000000003"/>
    <s v="DRV-584"/>
    <s v="Overcast"/>
    <s v="Weekday"/>
    <x v="2"/>
  </r>
  <r>
    <s v="R-104"/>
    <x v="0"/>
    <s v="BUS-3443"/>
    <x v="3"/>
    <d v="2026-06-26T00:00:00"/>
    <d v="1899-12-30T19:00:00"/>
    <n v="0"/>
    <n v="22"/>
    <n v="2200"/>
    <n v="17.03"/>
    <s v="DRV-856"/>
    <s v="Clear"/>
    <s v="Weekday"/>
    <x v="1"/>
  </r>
  <r>
    <s v="R-102"/>
    <x v="3"/>
    <s v="BUS-8783"/>
    <x v="2"/>
    <d v="2026-06-22T00:00:00"/>
    <d v="1899-12-30T10:15:00"/>
    <n v="36"/>
    <n v="56"/>
    <n v="6720"/>
    <n v="31.69"/>
    <s v="DRV-569"/>
    <s v="Rainy"/>
    <s v="Weekday"/>
    <x v="0"/>
  </r>
  <r>
    <s v="R-101"/>
    <x v="4"/>
    <s v="BUS-1984"/>
    <x v="0"/>
    <d v="2026-06-29T00:00:00"/>
    <d v="1899-12-30T10:30:00"/>
    <n v="24"/>
    <n v="70"/>
    <n v="8400"/>
    <n v="23.99"/>
    <s v="DRV-673"/>
    <s v="Overcast"/>
    <s v="Weekday"/>
    <x v="0"/>
  </r>
  <r>
    <s v="R-104"/>
    <x v="0"/>
    <s v="BUS-8790"/>
    <x v="2"/>
    <d v="2026-06-12T00:00:00"/>
    <d v="1899-12-30T10:45:00"/>
    <n v="0"/>
    <n v="40"/>
    <n v="3200"/>
    <n v="24.55"/>
    <s v="DRV-943"/>
    <s v="Foggy"/>
    <s v="Weekday"/>
    <x v="1"/>
  </r>
  <r>
    <s v="R-103"/>
    <x v="2"/>
    <s v="BUS-1827"/>
    <x v="3"/>
    <d v="2026-06-03T00:00:00"/>
    <d v="1899-12-30T22:30:00"/>
    <n v="45"/>
    <n v="31"/>
    <n v="3720"/>
    <n v="25.91"/>
    <s v="DRV-781"/>
    <s v="Overcast"/>
    <s v="Weekday"/>
    <x v="0"/>
  </r>
  <r>
    <s v="R-104"/>
    <x v="0"/>
    <s v="BUS-4531"/>
    <x v="0"/>
    <d v="2026-06-13T00:00:00"/>
    <d v="1899-12-30T17:00:00"/>
    <n v="0"/>
    <n v="52"/>
    <n v="6240"/>
    <n v="33.83"/>
    <s v="DRV-544"/>
    <s v="Rainy"/>
    <s v="Weekend"/>
    <x v="1"/>
  </r>
  <r>
    <s v="R-104"/>
    <x v="0"/>
    <s v="BUS-8147"/>
    <x v="2"/>
    <d v="2026-06-18T00:00:00"/>
    <d v="1899-12-30T14:00:00"/>
    <n v="0"/>
    <n v="76"/>
    <n v="9120"/>
    <n v="25.35"/>
    <s v="DRV-368"/>
    <s v="Clear"/>
    <s v="Weekday"/>
    <x v="2"/>
  </r>
  <r>
    <s v="R-102"/>
    <x v="3"/>
    <s v="BUS-5451"/>
    <x v="3"/>
    <d v="2026-06-08T00:00:00"/>
    <d v="1899-12-30T09:30:00"/>
    <n v="0"/>
    <n v="63"/>
    <n v="7560"/>
    <n v="37.11"/>
    <s v="DRV-366"/>
    <s v="Rainy"/>
    <s v="Weekday"/>
    <x v="2"/>
  </r>
  <r>
    <s v="R-103"/>
    <x v="2"/>
    <s v="BUS-4876"/>
    <x v="1"/>
    <d v="2026-06-21T00:00:00"/>
    <d v="1899-12-30T15:00:00"/>
    <n v="0"/>
    <n v="19"/>
    <n v="1900"/>
    <n v="27.43"/>
    <s v="DRV-153"/>
    <s v="Rainy"/>
    <s v="Weekend"/>
    <x v="2"/>
  </r>
  <r>
    <s v="R-104"/>
    <x v="0"/>
    <s v="BUS-6959"/>
    <x v="3"/>
    <d v="2026-06-15T00:00:00"/>
    <d v="1899-12-30T12:15:00"/>
    <n v="0"/>
    <n v="51"/>
    <n v="4080"/>
    <n v="17.52"/>
    <s v="DRV-627"/>
    <s v="Overcast"/>
    <s v="Weekday"/>
    <x v="2"/>
  </r>
  <r>
    <s v="R-101"/>
    <x v="4"/>
    <s v="BUS-1126"/>
    <x v="1"/>
    <d v="2026-06-01T00:00:00"/>
    <d v="1899-12-30T06:00:00"/>
    <n v="0"/>
    <n v="73"/>
    <n v="8760"/>
    <n v="38.619999999999997"/>
    <s v="DRV-619"/>
    <s v="Foggy"/>
    <s v="Weekday"/>
    <x v="1"/>
  </r>
  <r>
    <s v="R-101"/>
    <x v="4"/>
    <s v="BUS-4177"/>
    <x v="2"/>
    <d v="2026-06-03T00:00:00"/>
    <d v="1899-12-30T07:45:00"/>
    <n v="50"/>
    <n v="30"/>
    <n v="3600"/>
    <n v="23.93"/>
    <s v="DRV-715"/>
    <s v="Rainy"/>
    <s v="Weekday"/>
    <x v="0"/>
  </r>
  <r>
    <s v="R-105"/>
    <x v="1"/>
    <s v="BUS-9795"/>
    <x v="0"/>
    <d v="2026-06-26T00:00:00"/>
    <d v="1899-12-30T16:00:00"/>
    <n v="43"/>
    <n v="75"/>
    <n v="7500"/>
    <n v="28.27"/>
    <s v="DRV-158"/>
    <s v="Foggy"/>
    <s v="Weekday"/>
    <x v="0"/>
  </r>
  <r>
    <s v="R-103"/>
    <x v="2"/>
    <s v="BUS-7024"/>
    <x v="0"/>
    <d v="2026-06-08T00:00:00"/>
    <d v="1899-12-30T12:15:00"/>
    <n v="0"/>
    <n v="50"/>
    <n v="6000"/>
    <n v="35.72"/>
    <s v="DRV-924"/>
    <s v="Overcast"/>
    <s v="Weekday"/>
    <x v="2"/>
  </r>
  <r>
    <s v="R-103"/>
    <x v="2"/>
    <s v="BUS-6109"/>
    <x v="2"/>
    <d v="2026-06-04T00:00:00"/>
    <d v="1899-12-30T22:00:00"/>
    <n v="0"/>
    <n v="33"/>
    <n v="3300"/>
    <n v="25.31"/>
    <s v="DRV-139"/>
    <s v="Foggy"/>
    <s v="Weekday"/>
    <x v="1"/>
  </r>
  <r>
    <s v="R-105"/>
    <x v="1"/>
    <s v="BUS-5146"/>
    <x v="0"/>
    <d v="2026-06-16T00:00:00"/>
    <d v="1899-12-30T07:15:00"/>
    <n v="0"/>
    <n v="44"/>
    <n v="3520"/>
    <n v="17.170000000000002"/>
    <s v="DRV-336"/>
    <s v="Overcast"/>
    <s v="Weekday"/>
    <x v="2"/>
  </r>
  <r>
    <s v="R-104"/>
    <x v="0"/>
    <s v="BUS-8196"/>
    <x v="0"/>
    <d v="2026-06-30T00:00:00"/>
    <d v="1899-12-30T19:15:00"/>
    <n v="0"/>
    <n v="65"/>
    <n v="5200"/>
    <n v="26.53"/>
    <s v="DRV-485"/>
    <s v="Clear"/>
    <s v="Weekday"/>
    <x v="1"/>
  </r>
  <r>
    <s v="R-103"/>
    <x v="2"/>
    <s v="BUS-4368"/>
    <x v="1"/>
    <d v="2026-06-23T00:00:00"/>
    <d v="1899-12-30T07:00:00"/>
    <n v="0"/>
    <n v="39"/>
    <n v="4680"/>
    <n v="31.34"/>
    <s v="DRV-705"/>
    <s v="Foggy"/>
    <s v="Weekday"/>
    <x v="2"/>
  </r>
  <r>
    <s v="R-101"/>
    <x v="4"/>
    <s v="BUS-4797"/>
    <x v="2"/>
    <d v="2026-06-10T00:00:00"/>
    <d v="1899-12-30T15:00:00"/>
    <n v="61"/>
    <n v="66"/>
    <n v="7920"/>
    <n v="34.43"/>
    <s v="DRV-833"/>
    <s v="Foggy"/>
    <s v="Weekday"/>
    <x v="0"/>
  </r>
  <r>
    <s v="R-101"/>
    <x v="4"/>
    <s v="BUS-2792"/>
    <x v="3"/>
    <d v="2026-06-12T00:00:00"/>
    <d v="1899-12-30T10:15:00"/>
    <n v="58"/>
    <n v="56"/>
    <n v="6720"/>
    <n v="35.31"/>
    <s v="DRV-815"/>
    <s v="Clear"/>
    <s v="Weekday"/>
    <x v="0"/>
  </r>
  <r>
    <s v="R-102"/>
    <x v="3"/>
    <s v="BUS-6732"/>
    <x v="1"/>
    <d v="2026-06-14T00:00:00"/>
    <d v="1899-12-30T21:00:00"/>
    <n v="0"/>
    <n v="44"/>
    <n v="4400"/>
    <n v="34.15"/>
    <s v="DRV-749"/>
    <s v="Foggy"/>
    <s v="Weekend"/>
    <x v="1"/>
  </r>
  <r>
    <s v="R-103"/>
    <x v="2"/>
    <s v="BUS-4476"/>
    <x v="2"/>
    <d v="2026-06-14T00:00:00"/>
    <d v="1899-12-30T07:15:00"/>
    <n v="0"/>
    <n v="28"/>
    <n v="3360"/>
    <n v="21.37"/>
    <s v="DRV-399"/>
    <s v="Clear"/>
    <s v="Weekend"/>
    <x v="2"/>
  </r>
  <r>
    <s v="R-104"/>
    <x v="0"/>
    <s v="BUS-4417"/>
    <x v="1"/>
    <d v="2026-06-02T00:00:00"/>
    <d v="1899-12-30T07:45:00"/>
    <n v="43"/>
    <n v="17"/>
    <n v="2040"/>
    <n v="27.84"/>
    <s v="DRV-494"/>
    <s v="Rainy"/>
    <s v="Weekday"/>
    <x v="0"/>
  </r>
  <r>
    <s v="R-105"/>
    <x v="1"/>
    <s v="BUS-2645"/>
    <x v="3"/>
    <d v="2026-06-23T00:00:00"/>
    <d v="1899-12-30T21:30:00"/>
    <n v="0"/>
    <n v="35"/>
    <n v="2800"/>
    <n v="37.65"/>
    <s v="DRV-306"/>
    <s v="Overcast"/>
    <s v="Weekday"/>
    <x v="1"/>
  </r>
  <r>
    <s v="R-105"/>
    <x v="1"/>
    <s v="BUS-4030"/>
    <x v="3"/>
    <d v="2026-06-05T00:00:00"/>
    <d v="1899-12-30T12:15:00"/>
    <n v="53"/>
    <n v="80"/>
    <n v="9600"/>
    <n v="18.489999999999998"/>
    <s v="DRV-435"/>
    <s v="Clear"/>
    <s v="Weekday"/>
    <x v="0"/>
  </r>
  <r>
    <s v="R-104"/>
    <x v="0"/>
    <s v="BUS-3872"/>
    <x v="2"/>
    <d v="2026-06-05T00:00:00"/>
    <d v="1899-12-30T17:45:00"/>
    <n v="0"/>
    <n v="39"/>
    <n v="3120"/>
    <n v="23.7"/>
    <s v="DRV-692"/>
    <s v="Foggy"/>
    <s v="Weekday"/>
    <x v="2"/>
  </r>
  <r>
    <s v="R-102"/>
    <x v="3"/>
    <s v="BUS-4072"/>
    <x v="3"/>
    <d v="2026-06-06T00:00:00"/>
    <d v="1899-12-30T20:45:00"/>
    <n v="0"/>
    <n v="16"/>
    <n v="1920"/>
    <n v="23.65"/>
    <s v="DRV-829"/>
    <s v="Clear"/>
    <s v="Weekend"/>
    <x v="1"/>
  </r>
  <r>
    <s v="R-105"/>
    <x v="1"/>
    <s v="BUS-2854"/>
    <x v="1"/>
    <d v="2026-06-13T00:00:00"/>
    <d v="1899-12-30T11:45:00"/>
    <n v="0"/>
    <n v="76"/>
    <n v="6080"/>
    <n v="28.24"/>
    <s v="DRV-613"/>
    <s v="Foggy"/>
    <s v="Weekend"/>
    <x v="2"/>
  </r>
  <r>
    <s v="R-103"/>
    <x v="2"/>
    <s v="BUS-5021"/>
    <x v="3"/>
    <d v="2026-06-09T00:00:00"/>
    <d v="1899-12-30T15:30:00"/>
    <n v="27"/>
    <n v="74"/>
    <n v="8880"/>
    <n v="44.42"/>
    <s v="DRV-277"/>
    <s v="Rainy"/>
    <s v="Weekday"/>
    <x v="0"/>
  </r>
  <r>
    <s v="R-102"/>
    <x v="3"/>
    <s v="BUS-5662"/>
    <x v="1"/>
    <d v="2026-06-30T00:00:00"/>
    <d v="1899-12-30T22:45:00"/>
    <n v="0"/>
    <n v="45"/>
    <n v="3600"/>
    <n v="17.489999999999998"/>
    <s v="DRV-495"/>
    <s v="Clear"/>
    <s v="Weekday"/>
    <x v="1"/>
  </r>
  <r>
    <s v="R-103"/>
    <x v="2"/>
    <s v="BUS-7514"/>
    <x v="1"/>
    <d v="2026-06-22T00:00:00"/>
    <d v="1899-12-30T12:00:00"/>
    <n v="16"/>
    <n v="34"/>
    <n v="3400"/>
    <n v="30.8"/>
    <s v="DRV-470"/>
    <s v="Rainy"/>
    <s v="Weekday"/>
    <x v="0"/>
  </r>
  <r>
    <s v="R-101"/>
    <x v="4"/>
    <s v="BUS-6031"/>
    <x v="3"/>
    <d v="2026-06-28T00:00:00"/>
    <d v="1899-12-30T09:15:00"/>
    <n v="0"/>
    <n v="46"/>
    <n v="3680"/>
    <n v="20.79"/>
    <s v="DRV-957"/>
    <s v="Overcast"/>
    <s v="Weekend"/>
    <x v="1"/>
  </r>
  <r>
    <s v="R-102"/>
    <x v="3"/>
    <s v="BUS-3708"/>
    <x v="2"/>
    <d v="2026-06-29T00:00:00"/>
    <d v="1899-12-30T20:45:00"/>
    <n v="64"/>
    <n v="10"/>
    <n v="800"/>
    <n v="44.13"/>
    <s v="DRV-890"/>
    <s v="Foggy"/>
    <s v="Weekday"/>
    <x v="0"/>
  </r>
  <r>
    <s v="R-105"/>
    <x v="1"/>
    <s v="BUS-8112"/>
    <x v="0"/>
    <d v="2026-06-15T00:00:00"/>
    <d v="1899-12-30T13:00:00"/>
    <n v="0"/>
    <n v="24"/>
    <n v="1920"/>
    <n v="18.84"/>
    <s v="DRV-757"/>
    <s v="Foggy"/>
    <s v="Weekday"/>
    <x v="2"/>
  </r>
  <r>
    <s v="R-102"/>
    <x v="3"/>
    <s v="BUS-9393"/>
    <x v="3"/>
    <d v="2026-06-14T00:00:00"/>
    <d v="1899-12-30T20:15:00"/>
    <n v="34"/>
    <n v="46"/>
    <n v="5520"/>
    <n v="27.41"/>
    <s v="DRV-417"/>
    <s v="Rainy"/>
    <s v="Weekend"/>
    <x v="0"/>
  </r>
  <r>
    <s v="R-102"/>
    <x v="3"/>
    <s v="BUS-4507"/>
    <x v="1"/>
    <d v="2026-06-24T00:00:00"/>
    <d v="1899-12-30T19:30:00"/>
    <n v="47"/>
    <n v="22"/>
    <n v="2640"/>
    <n v="37.270000000000003"/>
    <s v="DRV-835"/>
    <s v="Overcast"/>
    <s v="Weekday"/>
    <x v="0"/>
  </r>
  <r>
    <s v="R-102"/>
    <x v="3"/>
    <s v="BUS-7456"/>
    <x v="1"/>
    <d v="2026-06-07T00:00:00"/>
    <d v="1899-12-30T14:45:00"/>
    <n v="23"/>
    <n v="17"/>
    <n v="2040"/>
    <n v="36.28"/>
    <s v="DRV-468"/>
    <s v="Clear"/>
    <s v="Weekend"/>
    <x v="0"/>
  </r>
  <r>
    <s v="R-102"/>
    <x v="3"/>
    <s v="BUS-5212"/>
    <x v="3"/>
    <d v="2026-06-25T00:00:00"/>
    <d v="1899-12-30T22:30:00"/>
    <n v="0"/>
    <n v="14"/>
    <n v="1400"/>
    <n v="27.97"/>
    <s v="DRV-483"/>
    <s v="Clear"/>
    <s v="Weekday"/>
    <x v="1"/>
  </r>
  <r>
    <s v="R-103"/>
    <x v="2"/>
    <s v="BUS-8970"/>
    <x v="2"/>
    <d v="2026-06-20T00:00:00"/>
    <d v="1899-12-30T07:00:00"/>
    <n v="0"/>
    <n v="69"/>
    <n v="6900"/>
    <n v="25.72"/>
    <s v="DRV-161"/>
    <s v="Foggy"/>
    <s v="Weekend"/>
    <x v="1"/>
  </r>
  <r>
    <s v="R-101"/>
    <x v="4"/>
    <s v="BUS-9766"/>
    <x v="2"/>
    <d v="2026-06-02T00:00:00"/>
    <d v="1899-12-30T08:45:00"/>
    <n v="0"/>
    <n v="82"/>
    <n v="6560"/>
    <n v="27.23"/>
    <s v="DRV-905"/>
    <s v="Rainy"/>
    <s v="Weekday"/>
    <x v="1"/>
  </r>
  <r>
    <s v="R-104"/>
    <x v="0"/>
    <s v="BUS-1536"/>
    <x v="1"/>
    <d v="2026-06-07T00:00:00"/>
    <d v="1899-12-30T17:00:00"/>
    <n v="11"/>
    <n v="10"/>
    <n v="1000"/>
    <n v="23.3"/>
    <s v="DRV-604"/>
    <s v="Rainy"/>
    <s v="Weekend"/>
    <x v="0"/>
  </r>
  <r>
    <s v="R-102"/>
    <x v="3"/>
    <s v="BUS-2625"/>
    <x v="1"/>
    <d v="2026-06-06T00:00:00"/>
    <d v="1899-12-30T15:45:00"/>
    <n v="0"/>
    <n v="45"/>
    <n v="3600"/>
    <n v="21.56"/>
    <s v="DRV-338"/>
    <s v="Clear"/>
    <s v="Weekend"/>
    <x v="1"/>
  </r>
  <r>
    <s v="R-105"/>
    <x v="1"/>
    <s v="BUS-8973"/>
    <x v="2"/>
    <d v="2026-06-17T00:00:00"/>
    <d v="1899-12-30T08:15:00"/>
    <n v="46"/>
    <n v="44"/>
    <n v="3520"/>
    <n v="29.75"/>
    <s v="DRV-294"/>
    <s v="Overcast"/>
    <s v="Weekday"/>
    <x v="0"/>
  </r>
  <r>
    <s v="R-102"/>
    <x v="3"/>
    <s v="BUS-9577"/>
    <x v="0"/>
    <d v="2026-06-27T00:00:00"/>
    <d v="1899-12-30T12:45:00"/>
    <n v="23"/>
    <n v="75"/>
    <n v="6000"/>
    <n v="23.42"/>
    <s v="DRV-777"/>
    <s v="Overcast"/>
    <s v="Weekend"/>
    <x v="0"/>
  </r>
  <r>
    <s v="R-105"/>
    <x v="1"/>
    <s v="BUS-9070"/>
    <x v="3"/>
    <d v="2026-06-25T00:00:00"/>
    <d v="1899-12-30T16:30:00"/>
    <n v="0"/>
    <n v="72"/>
    <n v="7200"/>
    <n v="23.98"/>
    <s v="DRV-321"/>
    <s v="Clear"/>
    <s v="Weekday"/>
    <x v="2"/>
  </r>
  <r>
    <s v="R-103"/>
    <x v="2"/>
    <s v="BUS-9666"/>
    <x v="1"/>
    <d v="2026-06-25T00:00:00"/>
    <d v="1899-12-30T10:30:00"/>
    <n v="39"/>
    <n v="32"/>
    <n v="3840"/>
    <n v="34.869999999999997"/>
    <s v="DRV-160"/>
    <s v="Clear"/>
    <s v="Weekday"/>
    <x v="0"/>
  </r>
  <r>
    <s v="R-105"/>
    <x v="1"/>
    <s v="BUS-9609"/>
    <x v="1"/>
    <d v="2026-06-28T00:00:00"/>
    <d v="1899-12-30T16:45:00"/>
    <n v="38"/>
    <n v="18"/>
    <n v="1800"/>
    <n v="44.07"/>
    <s v="DRV-228"/>
    <s v="Rainy"/>
    <s v="Weekend"/>
    <x v="0"/>
  </r>
  <r>
    <s v="R-104"/>
    <x v="0"/>
    <s v="BUS-7490"/>
    <x v="2"/>
    <d v="2026-06-02T00:00:00"/>
    <d v="1899-12-30T17:15:00"/>
    <n v="29"/>
    <n v="43"/>
    <n v="3440"/>
    <n v="33.31"/>
    <s v="DRV-784"/>
    <s v="Overcast"/>
    <s v="Weekday"/>
    <x v="0"/>
  </r>
  <r>
    <s v="R-101"/>
    <x v="4"/>
    <s v="BUS-4600"/>
    <x v="3"/>
    <d v="2026-06-03T00:00:00"/>
    <d v="1899-12-30T13:45:00"/>
    <n v="0"/>
    <n v="55"/>
    <n v="4400"/>
    <n v="17.77"/>
    <s v="DRV-255"/>
    <s v="Clear"/>
    <s v="Weekday"/>
    <x v="2"/>
  </r>
  <r>
    <s v="R-105"/>
    <x v="1"/>
    <s v="BUS-7783"/>
    <x v="2"/>
    <d v="2026-06-05T00:00:00"/>
    <d v="1899-12-30T14:45:00"/>
    <n v="0"/>
    <n v="13"/>
    <n v="1300"/>
    <n v="17.73"/>
    <s v="DRV-477"/>
    <s v="Clear"/>
    <s v="Weekday"/>
    <x v="1"/>
  </r>
  <r>
    <s v="R-105"/>
    <x v="1"/>
    <s v="BUS-5971"/>
    <x v="3"/>
    <d v="2026-06-05T00:00:00"/>
    <d v="1899-12-30T10:00:00"/>
    <n v="0"/>
    <n v="39"/>
    <n v="3120"/>
    <n v="43.57"/>
    <s v="DRV-721"/>
    <s v="Foggy"/>
    <s v="Weekday"/>
    <x v="1"/>
  </r>
  <r>
    <s v="R-101"/>
    <x v="4"/>
    <s v="BUS-2205"/>
    <x v="3"/>
    <d v="2026-06-01T00:00:00"/>
    <d v="1899-12-30T13:30:00"/>
    <n v="44"/>
    <n v="84"/>
    <n v="6720"/>
    <n v="24.27"/>
    <s v="DRV-880"/>
    <s v="Clear"/>
    <s v="Weekday"/>
    <x v="0"/>
  </r>
  <r>
    <s v="R-104"/>
    <x v="0"/>
    <s v="BUS-2990"/>
    <x v="3"/>
    <d v="2026-06-08T00:00:00"/>
    <d v="1899-12-30T14:30:00"/>
    <n v="0"/>
    <n v="81"/>
    <n v="8100"/>
    <n v="18.22"/>
    <s v="DRV-967"/>
    <s v="Clear"/>
    <s v="Weekday"/>
    <x v="1"/>
  </r>
  <r>
    <s v="R-102"/>
    <x v="3"/>
    <s v="BUS-6299"/>
    <x v="1"/>
    <d v="2026-06-12T00:00:00"/>
    <d v="1899-12-30T20:45:00"/>
    <n v="25"/>
    <n v="12"/>
    <n v="1200"/>
    <n v="33.17"/>
    <s v="DRV-889"/>
    <s v="Overcast"/>
    <s v="Weekday"/>
    <x v="0"/>
  </r>
  <r>
    <s v="R-105"/>
    <x v="1"/>
    <s v="BUS-4572"/>
    <x v="0"/>
    <d v="2026-06-24T00:00:00"/>
    <d v="1899-12-30T19:45:00"/>
    <n v="0"/>
    <n v="23"/>
    <n v="2300"/>
    <n v="33.9"/>
    <s v="DRV-685"/>
    <s v="Rainy"/>
    <s v="Weekday"/>
    <x v="1"/>
  </r>
  <r>
    <s v="R-101"/>
    <x v="4"/>
    <s v="BUS-6975"/>
    <x v="2"/>
    <d v="2026-06-04T00:00:00"/>
    <d v="1899-12-30T15:45:00"/>
    <n v="0"/>
    <n v="69"/>
    <n v="5520"/>
    <n v="34.630000000000003"/>
    <s v="DRV-536"/>
    <s v="Overcast"/>
    <s v="Weekday"/>
    <x v="2"/>
  </r>
  <r>
    <s v="R-103"/>
    <x v="2"/>
    <s v="BUS-7320"/>
    <x v="0"/>
    <d v="2026-06-13T00:00:00"/>
    <d v="1899-12-30T11:45:00"/>
    <n v="52"/>
    <n v="54"/>
    <n v="4320"/>
    <n v="23.39"/>
    <s v="DRV-306"/>
    <s v="Rainy"/>
    <s v="Weekend"/>
    <x v="0"/>
  </r>
  <r>
    <s v="R-101"/>
    <x v="4"/>
    <s v="BUS-5380"/>
    <x v="2"/>
    <d v="2026-06-23T00:00:00"/>
    <d v="1899-12-30T07:30:00"/>
    <n v="26"/>
    <n v="43"/>
    <n v="5160"/>
    <n v="15.95"/>
    <s v="DRV-487"/>
    <s v="Foggy"/>
    <s v="Weekday"/>
    <x v="0"/>
  </r>
  <r>
    <s v="R-103"/>
    <x v="2"/>
    <s v="BUS-5757"/>
    <x v="3"/>
    <d v="2026-06-15T00:00:00"/>
    <d v="1899-12-30T21:30:00"/>
    <n v="0"/>
    <n v="54"/>
    <n v="6480"/>
    <n v="43.97"/>
    <s v="DRV-579"/>
    <s v="Clear"/>
    <s v="Weekday"/>
    <x v="2"/>
  </r>
  <r>
    <s v="R-104"/>
    <x v="0"/>
    <s v="BUS-3713"/>
    <x v="1"/>
    <d v="2026-06-11T00:00:00"/>
    <d v="1899-12-30T18:30:00"/>
    <n v="0"/>
    <n v="70"/>
    <n v="7000"/>
    <n v="22.9"/>
    <s v="DRV-890"/>
    <s v="Foggy"/>
    <s v="Weekday"/>
    <x v="1"/>
  </r>
  <r>
    <s v="R-102"/>
    <x v="3"/>
    <s v="BUS-6588"/>
    <x v="0"/>
    <d v="2026-06-10T00:00:00"/>
    <d v="1899-12-30T16:45:00"/>
    <n v="0"/>
    <n v="25"/>
    <n v="3000"/>
    <n v="35.44"/>
    <s v="DRV-986"/>
    <s v="Rainy"/>
    <s v="Weekday"/>
    <x v="1"/>
  </r>
  <r>
    <s v="R-101"/>
    <x v="4"/>
    <s v="BUS-1966"/>
    <x v="1"/>
    <d v="2026-06-03T00:00:00"/>
    <d v="1899-12-30T11:00:00"/>
    <n v="13"/>
    <n v="75"/>
    <n v="6000"/>
    <n v="36.35"/>
    <s v="DRV-937"/>
    <s v="Overcast"/>
    <s v="Weekday"/>
    <x v="0"/>
  </r>
  <r>
    <s v="R-105"/>
    <x v="1"/>
    <s v="BUS-5944"/>
    <x v="2"/>
    <d v="2026-06-22T00:00:00"/>
    <d v="1899-12-30T06:30:00"/>
    <n v="0"/>
    <n v="49"/>
    <n v="5880"/>
    <n v="33.5"/>
    <s v="DRV-439"/>
    <s v="Overcast"/>
    <s v="Weekday"/>
    <x v="2"/>
  </r>
  <r>
    <s v="R-104"/>
    <x v="0"/>
    <s v="BUS-4432"/>
    <x v="1"/>
    <d v="2026-06-14T00:00:00"/>
    <d v="1899-12-30T13:00:00"/>
    <n v="0"/>
    <n v="26"/>
    <n v="2080"/>
    <n v="24.73"/>
    <s v="DRV-968"/>
    <s v="Foggy"/>
    <s v="Weekend"/>
    <x v="1"/>
  </r>
  <r>
    <s v="R-101"/>
    <x v="4"/>
    <s v="BUS-1688"/>
    <x v="1"/>
    <d v="2026-06-16T00:00:00"/>
    <d v="1899-12-30T21:30:00"/>
    <n v="0"/>
    <n v="43"/>
    <n v="4300"/>
    <n v="23.5"/>
    <s v="DRV-439"/>
    <s v="Rainy"/>
    <s v="Weekday"/>
    <x v="2"/>
  </r>
  <r>
    <s v="R-105"/>
    <x v="1"/>
    <s v="BUS-5243"/>
    <x v="0"/>
    <d v="2026-06-10T00:00:00"/>
    <d v="1899-12-30T10:45:00"/>
    <n v="0"/>
    <n v="25"/>
    <n v="2500"/>
    <n v="33.130000000000003"/>
    <s v="DRV-303"/>
    <s v="Foggy"/>
    <s v="Weekday"/>
    <x v="1"/>
  </r>
  <r>
    <s v="R-101"/>
    <x v="4"/>
    <s v="BUS-4701"/>
    <x v="3"/>
    <d v="2026-06-29T00:00:00"/>
    <d v="1899-12-30T11:15:00"/>
    <n v="15"/>
    <n v="69"/>
    <n v="5520"/>
    <n v="41.05"/>
    <s v="DRV-260"/>
    <s v="Foggy"/>
    <s v="Weekday"/>
    <x v="0"/>
  </r>
  <r>
    <s v="R-103"/>
    <x v="2"/>
    <s v="BUS-9533"/>
    <x v="1"/>
    <d v="2026-06-10T00:00:00"/>
    <d v="1899-12-30T14:45:00"/>
    <n v="26"/>
    <n v="75"/>
    <n v="9000"/>
    <n v="43.43"/>
    <s v="DRV-639"/>
    <s v="Clear"/>
    <s v="Weekday"/>
    <x v="0"/>
  </r>
  <r>
    <s v="R-101"/>
    <x v="4"/>
    <s v="BUS-6182"/>
    <x v="3"/>
    <d v="2026-06-12T00:00:00"/>
    <d v="1899-12-30T16:15:00"/>
    <n v="48"/>
    <n v="75"/>
    <n v="7500"/>
    <n v="18.62"/>
    <s v="DRV-491"/>
    <s v="Foggy"/>
    <s v="Weekday"/>
    <x v="0"/>
  </r>
  <r>
    <s v="R-101"/>
    <x v="4"/>
    <s v="BUS-7704"/>
    <x v="2"/>
    <d v="2026-06-30T00:00:00"/>
    <d v="1899-12-30T21:00:00"/>
    <n v="0"/>
    <n v="22"/>
    <n v="2200"/>
    <n v="20.07"/>
    <s v="DRV-868"/>
    <s v="Clear"/>
    <s v="Weekday"/>
    <x v="2"/>
  </r>
  <r>
    <s v="R-101"/>
    <x v="4"/>
    <s v="BUS-5422"/>
    <x v="1"/>
    <d v="2026-06-09T00:00:00"/>
    <d v="1899-12-30T18:30:00"/>
    <n v="0"/>
    <n v="65"/>
    <n v="7800"/>
    <n v="43.37"/>
    <s v="DRV-776"/>
    <s v="Clear"/>
    <s v="Weekday"/>
    <x v="2"/>
  </r>
  <r>
    <s v="R-104"/>
    <x v="0"/>
    <s v="BUS-2759"/>
    <x v="0"/>
    <d v="2026-06-01T00:00:00"/>
    <d v="1899-12-30T18:15:00"/>
    <n v="14"/>
    <n v="40"/>
    <n v="4800"/>
    <n v="37.229999999999997"/>
    <s v="DRV-674"/>
    <s v="Overcast"/>
    <s v="Weekday"/>
    <x v="0"/>
  </r>
  <r>
    <s v="R-101"/>
    <x v="4"/>
    <s v="BUS-3482"/>
    <x v="2"/>
    <d v="2026-06-05T00:00:00"/>
    <d v="1899-12-30T09:45:00"/>
    <n v="29"/>
    <n v="43"/>
    <n v="3440"/>
    <n v="41.55"/>
    <s v="DRV-633"/>
    <s v="Clear"/>
    <s v="Weekday"/>
    <x v="0"/>
  </r>
  <r>
    <s v="R-105"/>
    <x v="1"/>
    <s v="BUS-9058"/>
    <x v="2"/>
    <d v="2026-06-20T00:00:00"/>
    <d v="1899-12-30T11:15:00"/>
    <n v="25"/>
    <n v="48"/>
    <n v="5760"/>
    <n v="21.48"/>
    <s v="DRV-169"/>
    <s v="Clear"/>
    <s v="Weekend"/>
    <x v="0"/>
  </r>
  <r>
    <s v="R-103"/>
    <x v="2"/>
    <s v="BUS-1951"/>
    <x v="0"/>
    <d v="2026-06-08T00:00:00"/>
    <d v="1899-12-30T10:00:00"/>
    <n v="60"/>
    <n v="76"/>
    <n v="9120"/>
    <n v="32.83"/>
    <s v="DRV-992"/>
    <s v="Overcast"/>
    <s v="Weekday"/>
    <x v="0"/>
  </r>
  <r>
    <s v="R-103"/>
    <x v="2"/>
    <s v="BUS-9914"/>
    <x v="1"/>
    <d v="2026-06-11T00:00:00"/>
    <d v="1899-12-30T08:00:00"/>
    <n v="50"/>
    <n v="17"/>
    <n v="2040"/>
    <n v="36.18"/>
    <s v="DRV-504"/>
    <s v="Foggy"/>
    <s v="Weekday"/>
    <x v="0"/>
  </r>
  <r>
    <s v="R-101"/>
    <x v="4"/>
    <s v="BUS-3079"/>
    <x v="1"/>
    <d v="2026-06-12T00:00:00"/>
    <d v="1899-12-30T09:00:00"/>
    <n v="46"/>
    <n v="64"/>
    <n v="5120"/>
    <n v="35.56"/>
    <s v="DRV-707"/>
    <s v="Rainy"/>
    <s v="Weekday"/>
    <x v="0"/>
  </r>
  <r>
    <s v="R-104"/>
    <x v="0"/>
    <s v="BUS-3717"/>
    <x v="2"/>
    <d v="2026-06-01T00:00:00"/>
    <d v="1899-12-30T07:15:00"/>
    <n v="0"/>
    <n v="36"/>
    <n v="2880"/>
    <n v="27.54"/>
    <s v="DRV-774"/>
    <s v="Rainy"/>
    <s v="Weekday"/>
    <x v="1"/>
  </r>
  <r>
    <s v="R-104"/>
    <x v="0"/>
    <s v="BUS-5524"/>
    <x v="1"/>
    <d v="2026-06-25T00:00:00"/>
    <d v="1899-12-30T10:30:00"/>
    <n v="18"/>
    <n v="62"/>
    <n v="6200"/>
    <n v="15.95"/>
    <s v="DRV-690"/>
    <s v="Rainy"/>
    <s v="Weekday"/>
    <x v="0"/>
  </r>
  <r>
    <s v="R-105"/>
    <x v="1"/>
    <s v="BUS-9477"/>
    <x v="3"/>
    <d v="2026-06-22T00:00:00"/>
    <d v="1899-12-30T14:45:00"/>
    <n v="0"/>
    <n v="48"/>
    <n v="3840"/>
    <n v="32.700000000000003"/>
    <s v="DRV-616"/>
    <s v="Foggy"/>
    <s v="Weekday"/>
    <x v="2"/>
  </r>
  <r>
    <s v="R-101"/>
    <x v="4"/>
    <s v="BUS-8311"/>
    <x v="0"/>
    <d v="2026-06-20T00:00:00"/>
    <d v="1899-12-30T11:15:00"/>
    <n v="51"/>
    <n v="74"/>
    <n v="7400"/>
    <n v="22.97"/>
    <s v="DRV-927"/>
    <s v="Clear"/>
    <s v="Weekend"/>
    <x v="0"/>
  </r>
  <r>
    <s v="R-103"/>
    <x v="2"/>
    <s v="BUS-8186"/>
    <x v="3"/>
    <d v="2026-06-28T00:00:00"/>
    <d v="1899-12-30T11:30:00"/>
    <n v="11"/>
    <n v="26"/>
    <n v="3120"/>
    <n v="28.78"/>
    <s v="DRV-219"/>
    <s v="Rainy"/>
    <s v="Weekend"/>
    <x v="0"/>
  </r>
  <r>
    <s v="R-104"/>
    <x v="0"/>
    <s v="BUS-3065"/>
    <x v="1"/>
    <d v="2026-06-25T00:00:00"/>
    <d v="1899-12-30T17:00:00"/>
    <n v="18"/>
    <n v="39"/>
    <n v="3900"/>
    <n v="43.75"/>
    <s v="DRV-913"/>
    <s v="Foggy"/>
    <s v="Weekday"/>
    <x v="0"/>
  </r>
  <r>
    <s v="R-101"/>
    <x v="4"/>
    <s v="BUS-1768"/>
    <x v="2"/>
    <d v="2026-06-11T00:00:00"/>
    <d v="1899-12-30T16:15:00"/>
    <n v="0"/>
    <n v="62"/>
    <n v="6200"/>
    <n v="27.27"/>
    <s v="DRV-789"/>
    <s v="Clear"/>
    <s v="Weekday"/>
    <x v="1"/>
  </r>
  <r>
    <s v="R-104"/>
    <x v="0"/>
    <s v="BUS-6490"/>
    <x v="0"/>
    <d v="2026-06-05T00:00:00"/>
    <d v="1899-12-30T20:45:00"/>
    <n v="45"/>
    <n v="22"/>
    <n v="2640"/>
    <n v="40.270000000000003"/>
    <s v="DRV-787"/>
    <s v="Overcast"/>
    <s v="Weekday"/>
    <x v="0"/>
  </r>
  <r>
    <s v="R-104"/>
    <x v="0"/>
    <s v="BUS-7645"/>
    <x v="1"/>
    <d v="2026-06-15T00:00:00"/>
    <d v="1899-12-30T17:00:00"/>
    <n v="0"/>
    <n v="30"/>
    <n v="3000"/>
    <n v="21.06"/>
    <s v="DRV-316"/>
    <s v="Rainy"/>
    <s v="Weekday"/>
    <x v="1"/>
  </r>
  <r>
    <s v="R-103"/>
    <x v="2"/>
    <s v="BUS-6083"/>
    <x v="1"/>
    <d v="2026-06-05T00:00:00"/>
    <d v="1899-12-30T07:15:00"/>
    <n v="31"/>
    <n v="28"/>
    <n v="2240"/>
    <n v="35.340000000000003"/>
    <s v="DRV-155"/>
    <s v="Clear"/>
    <s v="Weekday"/>
    <x v="0"/>
  </r>
  <r>
    <s v="R-102"/>
    <x v="3"/>
    <s v="BUS-6232"/>
    <x v="2"/>
    <d v="2026-06-12T00:00:00"/>
    <d v="1899-12-30T08:45:00"/>
    <n v="0"/>
    <n v="62"/>
    <n v="4960"/>
    <n v="44.32"/>
    <s v="DRV-465"/>
    <s v="Rainy"/>
    <s v="Weekday"/>
    <x v="2"/>
  </r>
  <r>
    <s v="R-105"/>
    <x v="1"/>
    <s v="BUS-6797"/>
    <x v="2"/>
    <d v="2026-06-05T00:00:00"/>
    <d v="1899-12-30T21:00:00"/>
    <n v="0"/>
    <n v="28"/>
    <n v="2240"/>
    <n v="18.510000000000002"/>
    <s v="DRV-798"/>
    <s v="Rainy"/>
    <s v="Weekday"/>
    <x v="2"/>
  </r>
  <r>
    <s v="R-105"/>
    <x v="1"/>
    <s v="BUS-5926"/>
    <x v="3"/>
    <d v="2026-06-17T00:00:00"/>
    <d v="1899-12-30T06:00:00"/>
    <n v="0"/>
    <n v="66"/>
    <n v="5280"/>
    <n v="15.75"/>
    <s v="DRV-603"/>
    <s v="Rainy"/>
    <s v="Weekday"/>
    <x v="2"/>
  </r>
  <r>
    <s v="R-103"/>
    <x v="2"/>
    <s v="BUS-7016"/>
    <x v="0"/>
    <d v="2026-06-17T00:00:00"/>
    <d v="1899-12-30T08:45:00"/>
    <n v="0"/>
    <n v="34"/>
    <n v="3400"/>
    <n v="28.29"/>
    <s v="DRV-843"/>
    <s v="Clear"/>
    <s v="Weekda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F5D0D6-10FA-4D8D-963F-4CCDD019C4D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4">
    <pivotField showAll="0"/>
    <pivotField axis="axisRow" showAll="0">
      <items count="6">
        <item x="4"/>
        <item x="3"/>
        <item x="2"/>
        <item x="0"/>
        <item x="1"/>
        <item t="default"/>
      </items>
    </pivotField>
    <pivotField showAll="0"/>
    <pivotField showAll="0">
      <items count="5">
        <item h="1" x="2"/>
        <item x="1"/>
        <item h="1" x="0"/>
        <item h="1" x="3"/>
        <item t="default"/>
      </items>
    </pivotField>
    <pivotField numFmtId="14" showAll="0"/>
    <pivotField numFmtId="20" showAll="0"/>
    <pivotField showAll="0"/>
    <pivotField showAll="0"/>
    <pivotField dataField="1" showAll="0"/>
    <pivotField showAll="0"/>
    <pivotField showAll="0"/>
    <pivotField showAll="0"/>
    <pivotField showAll="0"/>
    <pivotField showAll="0">
      <items count="4">
        <item h="1" x="2"/>
        <item x="0"/>
        <item h="1" x="1"/>
        <item t="default"/>
      </items>
    </pivotField>
  </pivotFields>
  <rowFields count="1">
    <field x="1"/>
  </rowFields>
  <rowItems count="6">
    <i>
      <x/>
    </i>
    <i>
      <x v="1"/>
    </i>
    <i>
      <x v="2"/>
    </i>
    <i>
      <x v="3"/>
    </i>
    <i>
      <x v="4"/>
    </i>
    <i t="grand">
      <x/>
    </i>
  </rowItems>
  <colItems count="1">
    <i/>
  </colItems>
  <dataFields count="1">
    <dataField name="Sum of Ticket_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_Type" xr10:uid="{6935ECC9-952F-435D-BBE3-6BE0EB0DD034}" sourceName="Bus_Type">
  <pivotTables>
    <pivotTable tabId="2" name="PivotTable1"/>
  </pivotTables>
  <data>
    <tabular pivotCacheId="625620490">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Status" xr10:uid="{8A923917-B744-4E68-95C7-630A28683C27}" sourceName="Trip_Status">
  <pivotTables>
    <pivotTable tabId="2" name="PivotTable1"/>
  </pivotTables>
  <data>
    <tabular pivotCacheId="625620490">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_Type" xr10:uid="{E4A4F3A3-87C4-464D-9ED0-7A62A6149077}" cache="Slicer_Bus_Type" caption="Bus_Type" rowHeight="234950"/>
  <slicer name="Trip_Status" xr10:uid="{B34F6D10-81D3-42A8-B5C7-E67DC200EC0C}" cache="Slicer_Trip_Status" caption="Trip_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E175-E5EB-467E-89E5-62CE983A7644}">
  <dimension ref="A3:K9"/>
  <sheetViews>
    <sheetView tabSelected="1" workbookViewId="0">
      <selection activeCell="M3" sqref="M3"/>
    </sheetView>
  </sheetViews>
  <sheetFormatPr defaultRowHeight="14.4" x14ac:dyDescent="0.3"/>
  <cols>
    <col min="1" max="1" width="31.5546875" bestFit="1" customWidth="1"/>
    <col min="2" max="2" width="21" bestFit="1" customWidth="1"/>
    <col min="9" max="9" width="9.109375" customWidth="1"/>
    <col min="10" max="10" width="21" customWidth="1"/>
  </cols>
  <sheetData>
    <row r="3" spans="1:11" x14ac:dyDescent="0.3">
      <c r="A3" s="3" t="s">
        <v>933</v>
      </c>
      <c r="B3" t="s">
        <v>935</v>
      </c>
      <c r="J3" s="6" t="s">
        <v>936</v>
      </c>
      <c r="K3" s="6">
        <f>SUM(Cleaned_Smart_Public_Transport_!H:H)</f>
        <v>24920</v>
      </c>
    </row>
    <row r="4" spans="1:11" x14ac:dyDescent="0.3">
      <c r="A4" s="4" t="s">
        <v>72</v>
      </c>
      <c r="B4" s="5">
        <v>53260</v>
      </c>
      <c r="J4" s="6" t="s">
        <v>937</v>
      </c>
      <c r="K4" s="6">
        <f>SUM(Cleaned_Smart_Public_Transport_!I:I)</f>
        <v>2501000</v>
      </c>
    </row>
    <row r="5" spans="1:11" x14ac:dyDescent="0.3">
      <c r="A5" s="4" t="s">
        <v>41</v>
      </c>
      <c r="B5" s="5">
        <v>66080</v>
      </c>
      <c r="J5" s="6" t="s">
        <v>938</v>
      </c>
      <c r="K5" s="6">
        <f>AVERAGE(Cleaned_Smart_Public_Transport_!G:G)</f>
        <v>15.475</v>
      </c>
    </row>
    <row r="6" spans="1:11" x14ac:dyDescent="0.3">
      <c r="A6" s="4" t="s">
        <v>31</v>
      </c>
      <c r="B6" s="5">
        <v>38020</v>
      </c>
    </row>
    <row r="7" spans="1:11" x14ac:dyDescent="0.3">
      <c r="A7" s="4" t="s">
        <v>15</v>
      </c>
      <c r="B7" s="5">
        <v>85160</v>
      </c>
    </row>
    <row r="8" spans="1:11" x14ac:dyDescent="0.3">
      <c r="A8" s="4" t="s">
        <v>23</v>
      </c>
      <c r="B8" s="5">
        <v>25280</v>
      </c>
    </row>
    <row r="9" spans="1:11" x14ac:dyDescent="0.3">
      <c r="A9" s="4" t="s">
        <v>934</v>
      </c>
      <c r="B9" s="5">
        <v>267800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E514-6A5C-40E1-9888-A6D4874E9C5C}">
  <dimension ref="A1:N521"/>
  <sheetViews>
    <sheetView workbookViewId="0">
      <selection sqref="A1:N521"/>
    </sheetView>
  </sheetViews>
  <sheetFormatPr defaultRowHeight="14.4" x14ac:dyDescent="0.3"/>
  <cols>
    <col min="2" max="2" width="39.6640625" customWidth="1"/>
    <col min="3" max="3" width="18.33203125" customWidth="1"/>
    <col min="4" max="4" width="17.33203125" customWidth="1"/>
    <col min="5" max="5" width="18.21875" customWidth="1"/>
    <col min="6" max="6" width="13.6640625" customWidth="1"/>
    <col min="10" max="10" width="12.44140625" customWidth="1"/>
    <col min="11" max="11" width="16.21875" customWidth="1"/>
    <col min="12" max="12" width="14.6640625" customWidth="1"/>
    <col min="13" max="13" width="15.33203125" customWidth="1"/>
    <col min="14" max="14" width="11.2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s="1">
        <v>46201</v>
      </c>
      <c r="F2" s="2">
        <v>0.73958333333333337</v>
      </c>
      <c r="G2">
        <v>27</v>
      </c>
      <c r="H2">
        <v>43</v>
      </c>
      <c r="I2">
        <v>3440</v>
      </c>
      <c r="J2">
        <v>19.13</v>
      </c>
      <c r="K2" t="s">
        <v>18</v>
      </c>
      <c r="L2" t="s">
        <v>19</v>
      </c>
      <c r="M2" t="s">
        <v>20</v>
      </c>
      <c r="N2" t="s">
        <v>21</v>
      </c>
    </row>
    <row r="3" spans="1:14" x14ac:dyDescent="0.3">
      <c r="A3" t="s">
        <v>22</v>
      </c>
      <c r="B3" t="s">
        <v>23</v>
      </c>
      <c r="C3" t="s">
        <v>24</v>
      </c>
      <c r="D3" t="s">
        <v>25</v>
      </c>
      <c r="E3" s="1">
        <v>46188</v>
      </c>
      <c r="F3" s="2">
        <v>0.85416666666666663</v>
      </c>
      <c r="G3">
        <v>0</v>
      </c>
      <c r="H3">
        <v>50</v>
      </c>
      <c r="I3">
        <v>5000</v>
      </c>
      <c r="J3">
        <v>41.72</v>
      </c>
      <c r="K3" t="s">
        <v>26</v>
      </c>
      <c r="L3" t="s">
        <v>27</v>
      </c>
      <c r="M3" t="s">
        <v>28</v>
      </c>
      <c r="N3" t="s">
        <v>29</v>
      </c>
    </row>
    <row r="4" spans="1:14" x14ac:dyDescent="0.3">
      <c r="A4" t="s">
        <v>30</v>
      </c>
      <c r="B4" t="s">
        <v>31</v>
      </c>
      <c r="C4" t="s">
        <v>32</v>
      </c>
      <c r="D4" t="s">
        <v>33</v>
      </c>
      <c r="E4" s="1">
        <v>46179</v>
      </c>
      <c r="F4" s="2">
        <v>0.48958333333333331</v>
      </c>
      <c r="G4">
        <v>0</v>
      </c>
      <c r="H4">
        <v>60</v>
      </c>
      <c r="I4">
        <v>6000</v>
      </c>
      <c r="J4">
        <v>30.34</v>
      </c>
      <c r="K4" t="s">
        <v>34</v>
      </c>
      <c r="L4" t="s">
        <v>19</v>
      </c>
      <c r="M4" t="s">
        <v>20</v>
      </c>
      <c r="N4" t="s">
        <v>29</v>
      </c>
    </row>
    <row r="5" spans="1:14" x14ac:dyDescent="0.3">
      <c r="A5" t="s">
        <v>22</v>
      </c>
      <c r="B5" t="s">
        <v>23</v>
      </c>
      <c r="C5" t="s">
        <v>35</v>
      </c>
      <c r="D5" t="s">
        <v>33</v>
      </c>
      <c r="E5" s="1">
        <v>46181</v>
      </c>
      <c r="F5" s="2">
        <v>0.80208333333333337</v>
      </c>
      <c r="G5">
        <v>0</v>
      </c>
      <c r="H5">
        <v>56</v>
      </c>
      <c r="I5">
        <v>4480</v>
      </c>
      <c r="J5">
        <v>28.76</v>
      </c>
      <c r="K5" t="s">
        <v>36</v>
      </c>
      <c r="L5" t="s">
        <v>37</v>
      </c>
      <c r="M5" t="s">
        <v>28</v>
      </c>
      <c r="N5" t="s">
        <v>29</v>
      </c>
    </row>
    <row r="6" spans="1:14" x14ac:dyDescent="0.3">
      <c r="A6" t="s">
        <v>22</v>
      </c>
      <c r="B6" t="s">
        <v>23</v>
      </c>
      <c r="C6" t="s">
        <v>38</v>
      </c>
      <c r="D6" t="s">
        <v>33</v>
      </c>
      <c r="E6" s="1">
        <v>46200</v>
      </c>
      <c r="F6" s="2">
        <v>0.60416666666666663</v>
      </c>
      <c r="G6">
        <v>19</v>
      </c>
      <c r="H6">
        <v>67</v>
      </c>
      <c r="I6">
        <v>5360</v>
      </c>
      <c r="J6">
        <v>32.78</v>
      </c>
      <c r="K6" t="s">
        <v>39</v>
      </c>
      <c r="L6" t="s">
        <v>27</v>
      </c>
      <c r="M6" t="s">
        <v>20</v>
      </c>
      <c r="N6" t="s">
        <v>21</v>
      </c>
    </row>
    <row r="7" spans="1:14" x14ac:dyDescent="0.3">
      <c r="A7" t="s">
        <v>40</v>
      </c>
      <c r="B7" t="s">
        <v>41</v>
      </c>
      <c r="C7" t="s">
        <v>42</v>
      </c>
      <c r="D7" t="s">
        <v>17</v>
      </c>
      <c r="E7" s="1">
        <v>46178</v>
      </c>
      <c r="F7" s="2">
        <v>0.44791666666666669</v>
      </c>
      <c r="G7">
        <v>0</v>
      </c>
      <c r="H7">
        <v>84</v>
      </c>
      <c r="I7">
        <v>6720</v>
      </c>
      <c r="J7">
        <v>33.93</v>
      </c>
      <c r="K7" t="s">
        <v>43</v>
      </c>
      <c r="L7" t="s">
        <v>44</v>
      </c>
      <c r="M7" t="s">
        <v>28</v>
      </c>
      <c r="N7" t="s">
        <v>45</v>
      </c>
    </row>
    <row r="8" spans="1:14" x14ac:dyDescent="0.3">
      <c r="A8" t="s">
        <v>30</v>
      </c>
      <c r="B8" t="s">
        <v>31</v>
      </c>
      <c r="C8" t="s">
        <v>46</v>
      </c>
      <c r="D8" t="s">
        <v>47</v>
      </c>
      <c r="E8" s="1">
        <v>46189</v>
      </c>
      <c r="F8" s="2">
        <v>0.27083333333333331</v>
      </c>
      <c r="G8">
        <v>0</v>
      </c>
      <c r="H8">
        <v>66</v>
      </c>
      <c r="I8">
        <v>6600</v>
      </c>
      <c r="J8">
        <v>17.62</v>
      </c>
      <c r="K8" t="s">
        <v>48</v>
      </c>
      <c r="L8" t="s">
        <v>44</v>
      </c>
      <c r="M8" t="s">
        <v>28</v>
      </c>
      <c r="N8" t="s">
        <v>29</v>
      </c>
    </row>
    <row r="9" spans="1:14" x14ac:dyDescent="0.3">
      <c r="A9" t="s">
        <v>30</v>
      </c>
      <c r="B9" t="s">
        <v>31</v>
      </c>
      <c r="C9" t="s">
        <v>49</v>
      </c>
      <c r="D9" t="s">
        <v>47</v>
      </c>
      <c r="E9" s="1">
        <v>46199</v>
      </c>
      <c r="F9" s="2">
        <v>0.34375</v>
      </c>
      <c r="G9">
        <v>0</v>
      </c>
      <c r="H9">
        <v>32</v>
      </c>
      <c r="I9">
        <v>3200</v>
      </c>
      <c r="J9">
        <v>35.64</v>
      </c>
      <c r="K9" t="s">
        <v>50</v>
      </c>
      <c r="L9" t="s">
        <v>44</v>
      </c>
      <c r="M9" t="s">
        <v>28</v>
      </c>
      <c r="N9" t="s">
        <v>45</v>
      </c>
    </row>
    <row r="10" spans="1:14" x14ac:dyDescent="0.3">
      <c r="A10" t="s">
        <v>30</v>
      </c>
      <c r="B10" t="s">
        <v>31</v>
      </c>
      <c r="C10" t="s">
        <v>51</v>
      </c>
      <c r="D10" t="s">
        <v>33</v>
      </c>
      <c r="E10" s="1">
        <v>46191</v>
      </c>
      <c r="F10" s="2">
        <v>0.41666666666666669</v>
      </c>
      <c r="G10">
        <v>56</v>
      </c>
      <c r="H10">
        <v>57</v>
      </c>
      <c r="I10">
        <v>6840</v>
      </c>
      <c r="J10">
        <v>22.64</v>
      </c>
      <c r="K10" t="s">
        <v>52</v>
      </c>
      <c r="L10" t="s">
        <v>37</v>
      </c>
      <c r="M10" t="s">
        <v>28</v>
      </c>
      <c r="N10" t="s">
        <v>21</v>
      </c>
    </row>
    <row r="11" spans="1:14" x14ac:dyDescent="0.3">
      <c r="A11" t="s">
        <v>22</v>
      </c>
      <c r="B11" t="s">
        <v>23</v>
      </c>
      <c r="C11" t="s">
        <v>53</v>
      </c>
      <c r="D11" t="s">
        <v>47</v>
      </c>
      <c r="E11" s="1">
        <v>46179</v>
      </c>
      <c r="F11" s="2">
        <v>0.41666666666666669</v>
      </c>
      <c r="G11">
        <v>0</v>
      </c>
      <c r="H11">
        <v>31</v>
      </c>
      <c r="I11">
        <v>2480</v>
      </c>
      <c r="J11">
        <v>36.56</v>
      </c>
      <c r="K11" t="s">
        <v>54</v>
      </c>
      <c r="L11" t="s">
        <v>19</v>
      </c>
      <c r="M11" t="s">
        <v>20</v>
      </c>
      <c r="N11" t="s">
        <v>45</v>
      </c>
    </row>
    <row r="12" spans="1:14" x14ac:dyDescent="0.3">
      <c r="A12" t="s">
        <v>14</v>
      </c>
      <c r="B12" t="s">
        <v>15</v>
      </c>
      <c r="C12" t="s">
        <v>55</v>
      </c>
      <c r="D12" t="s">
        <v>47</v>
      </c>
      <c r="E12" s="1">
        <v>46178</v>
      </c>
      <c r="F12" s="2">
        <v>0.9375</v>
      </c>
      <c r="G12">
        <v>0</v>
      </c>
      <c r="H12">
        <v>26</v>
      </c>
      <c r="I12">
        <v>2600</v>
      </c>
      <c r="J12">
        <v>39.76</v>
      </c>
      <c r="K12" t="s">
        <v>56</v>
      </c>
      <c r="L12" t="s">
        <v>27</v>
      </c>
      <c r="M12" t="s">
        <v>28</v>
      </c>
      <c r="N12" t="s">
        <v>29</v>
      </c>
    </row>
    <row r="13" spans="1:14" x14ac:dyDescent="0.3">
      <c r="A13" t="s">
        <v>30</v>
      </c>
      <c r="B13" t="s">
        <v>31</v>
      </c>
      <c r="C13" t="s">
        <v>57</v>
      </c>
      <c r="D13" t="s">
        <v>17</v>
      </c>
      <c r="E13" s="1">
        <v>46201</v>
      </c>
      <c r="F13" s="2">
        <v>0.82291666666666663</v>
      </c>
      <c r="G13">
        <v>0</v>
      </c>
      <c r="H13">
        <v>78</v>
      </c>
      <c r="I13">
        <v>6240</v>
      </c>
      <c r="J13">
        <v>39.22</v>
      </c>
      <c r="K13" t="s">
        <v>58</v>
      </c>
      <c r="L13" t="s">
        <v>44</v>
      </c>
      <c r="M13" t="s">
        <v>20</v>
      </c>
      <c r="N13" t="s">
        <v>45</v>
      </c>
    </row>
    <row r="14" spans="1:14" x14ac:dyDescent="0.3">
      <c r="A14" t="s">
        <v>22</v>
      </c>
      <c r="B14" t="s">
        <v>23</v>
      </c>
      <c r="C14" t="s">
        <v>59</v>
      </c>
      <c r="D14" t="s">
        <v>25</v>
      </c>
      <c r="E14" s="1">
        <v>46189</v>
      </c>
      <c r="F14" s="2">
        <v>0.65625</v>
      </c>
      <c r="G14">
        <v>0</v>
      </c>
      <c r="H14">
        <v>20</v>
      </c>
      <c r="I14">
        <v>2000</v>
      </c>
      <c r="J14">
        <v>31.8</v>
      </c>
      <c r="K14" t="s">
        <v>60</v>
      </c>
      <c r="L14" t="s">
        <v>27</v>
      </c>
      <c r="M14" t="s">
        <v>28</v>
      </c>
      <c r="N14" t="s">
        <v>29</v>
      </c>
    </row>
    <row r="15" spans="1:14" x14ac:dyDescent="0.3">
      <c r="A15" t="s">
        <v>40</v>
      </c>
      <c r="B15" t="s">
        <v>41</v>
      </c>
      <c r="C15" t="s">
        <v>61</v>
      </c>
      <c r="D15" t="s">
        <v>33</v>
      </c>
      <c r="E15" s="1">
        <v>46186</v>
      </c>
      <c r="F15" s="2">
        <v>0.67708333333333337</v>
      </c>
      <c r="G15">
        <v>0</v>
      </c>
      <c r="H15">
        <v>24</v>
      </c>
      <c r="I15">
        <v>1920</v>
      </c>
      <c r="J15">
        <v>30.85</v>
      </c>
      <c r="K15" t="s">
        <v>62</v>
      </c>
      <c r="L15" t="s">
        <v>37</v>
      </c>
      <c r="M15" t="s">
        <v>20</v>
      </c>
      <c r="N15" t="s">
        <v>29</v>
      </c>
    </row>
    <row r="16" spans="1:14" x14ac:dyDescent="0.3">
      <c r="A16" t="s">
        <v>14</v>
      </c>
      <c r="B16" t="s">
        <v>15</v>
      </c>
      <c r="C16" t="s">
        <v>63</v>
      </c>
      <c r="D16" t="s">
        <v>33</v>
      </c>
      <c r="E16" s="1">
        <v>46201</v>
      </c>
      <c r="F16" s="2">
        <v>0.29166666666666669</v>
      </c>
      <c r="G16">
        <v>0</v>
      </c>
      <c r="H16">
        <v>44</v>
      </c>
      <c r="I16">
        <v>4400</v>
      </c>
      <c r="J16">
        <v>19.71</v>
      </c>
      <c r="K16" t="s">
        <v>64</v>
      </c>
      <c r="L16" t="s">
        <v>44</v>
      </c>
      <c r="M16" t="s">
        <v>20</v>
      </c>
      <c r="N16" t="s">
        <v>45</v>
      </c>
    </row>
    <row r="17" spans="1:14" x14ac:dyDescent="0.3">
      <c r="A17" t="s">
        <v>40</v>
      </c>
      <c r="B17" t="s">
        <v>41</v>
      </c>
      <c r="C17" t="s">
        <v>65</v>
      </c>
      <c r="D17" t="s">
        <v>17</v>
      </c>
      <c r="E17" s="1">
        <v>46178</v>
      </c>
      <c r="F17" s="2">
        <v>0.52083333333333337</v>
      </c>
      <c r="G17">
        <v>0</v>
      </c>
      <c r="H17">
        <v>42</v>
      </c>
      <c r="I17">
        <v>5040</v>
      </c>
      <c r="J17">
        <v>38.369999999999997</v>
      </c>
      <c r="K17" t="s">
        <v>66</v>
      </c>
      <c r="L17" t="s">
        <v>37</v>
      </c>
      <c r="M17" t="s">
        <v>28</v>
      </c>
      <c r="N17" t="s">
        <v>29</v>
      </c>
    </row>
    <row r="18" spans="1:14" x14ac:dyDescent="0.3">
      <c r="A18" t="s">
        <v>14</v>
      </c>
      <c r="B18" t="s">
        <v>15</v>
      </c>
      <c r="C18" t="s">
        <v>67</v>
      </c>
      <c r="D18" t="s">
        <v>17</v>
      </c>
      <c r="E18" s="1">
        <v>46186</v>
      </c>
      <c r="F18" s="2">
        <v>0.85416666666666663</v>
      </c>
      <c r="G18">
        <v>0</v>
      </c>
      <c r="H18">
        <v>25</v>
      </c>
      <c r="I18">
        <v>3000</v>
      </c>
      <c r="J18">
        <v>23.51</v>
      </c>
      <c r="K18" t="s">
        <v>68</v>
      </c>
      <c r="L18" t="s">
        <v>19</v>
      </c>
      <c r="M18" t="s">
        <v>20</v>
      </c>
      <c r="N18" t="s">
        <v>29</v>
      </c>
    </row>
    <row r="19" spans="1:14" x14ac:dyDescent="0.3">
      <c r="A19" t="s">
        <v>22</v>
      </c>
      <c r="B19" t="s">
        <v>23</v>
      </c>
      <c r="C19" t="s">
        <v>69</v>
      </c>
      <c r="D19" t="s">
        <v>47</v>
      </c>
      <c r="E19" s="1">
        <v>46190</v>
      </c>
      <c r="F19" s="2">
        <v>0.71875</v>
      </c>
      <c r="G19">
        <v>0</v>
      </c>
      <c r="H19">
        <v>43</v>
      </c>
      <c r="I19">
        <v>3440</v>
      </c>
      <c r="J19">
        <v>30.15</v>
      </c>
      <c r="K19" t="s">
        <v>70</v>
      </c>
      <c r="L19" t="s">
        <v>37</v>
      </c>
      <c r="M19" t="s">
        <v>28</v>
      </c>
      <c r="N19" t="s">
        <v>45</v>
      </c>
    </row>
    <row r="20" spans="1:14" x14ac:dyDescent="0.3">
      <c r="A20" t="s">
        <v>71</v>
      </c>
      <c r="B20" t="s">
        <v>72</v>
      </c>
      <c r="C20" t="s">
        <v>73</v>
      </c>
      <c r="D20" t="s">
        <v>33</v>
      </c>
      <c r="E20" s="1">
        <v>46191</v>
      </c>
      <c r="F20" s="2">
        <v>0.78125</v>
      </c>
      <c r="G20">
        <v>48</v>
      </c>
      <c r="H20">
        <v>75</v>
      </c>
      <c r="I20">
        <v>7500</v>
      </c>
      <c r="J20">
        <v>23.89</v>
      </c>
      <c r="K20" t="s">
        <v>74</v>
      </c>
      <c r="L20" t="s">
        <v>37</v>
      </c>
      <c r="M20" t="s">
        <v>28</v>
      </c>
      <c r="N20" t="s">
        <v>21</v>
      </c>
    </row>
    <row r="21" spans="1:14" x14ac:dyDescent="0.3">
      <c r="A21" t="s">
        <v>14</v>
      </c>
      <c r="B21" t="s">
        <v>15</v>
      </c>
      <c r="C21" t="s">
        <v>75</v>
      </c>
      <c r="D21" t="s">
        <v>25</v>
      </c>
      <c r="E21" s="1">
        <v>46181</v>
      </c>
      <c r="F21" s="2">
        <v>0.88541666666666663</v>
      </c>
      <c r="G21">
        <v>62</v>
      </c>
      <c r="H21">
        <v>49</v>
      </c>
      <c r="I21">
        <v>4900</v>
      </c>
      <c r="J21">
        <v>19.45</v>
      </c>
      <c r="K21" t="s">
        <v>76</v>
      </c>
      <c r="L21" t="s">
        <v>19</v>
      </c>
      <c r="M21" t="s">
        <v>28</v>
      </c>
      <c r="N21" t="s">
        <v>21</v>
      </c>
    </row>
    <row r="22" spans="1:14" x14ac:dyDescent="0.3">
      <c r="A22" t="s">
        <v>40</v>
      </c>
      <c r="B22" t="s">
        <v>41</v>
      </c>
      <c r="C22" t="s">
        <v>77</v>
      </c>
      <c r="D22" t="s">
        <v>17</v>
      </c>
      <c r="E22" s="1">
        <v>46186</v>
      </c>
      <c r="F22" s="2">
        <v>0.65625</v>
      </c>
      <c r="G22">
        <v>35</v>
      </c>
      <c r="H22">
        <v>37</v>
      </c>
      <c r="I22">
        <v>2960</v>
      </c>
      <c r="J22">
        <v>34.07</v>
      </c>
      <c r="K22" t="s">
        <v>78</v>
      </c>
      <c r="L22" t="s">
        <v>27</v>
      </c>
      <c r="M22" t="s">
        <v>20</v>
      </c>
      <c r="N22" t="s">
        <v>21</v>
      </c>
    </row>
    <row r="23" spans="1:14" x14ac:dyDescent="0.3">
      <c r="A23" t="s">
        <v>22</v>
      </c>
      <c r="B23" t="s">
        <v>23</v>
      </c>
      <c r="C23" t="s">
        <v>79</v>
      </c>
      <c r="D23" t="s">
        <v>25</v>
      </c>
      <c r="E23" s="1">
        <v>46203</v>
      </c>
      <c r="F23" s="2">
        <v>0.55208333333333337</v>
      </c>
      <c r="G23">
        <v>0</v>
      </c>
      <c r="H23">
        <v>56</v>
      </c>
      <c r="I23">
        <v>5600</v>
      </c>
      <c r="J23">
        <v>17.100000000000001</v>
      </c>
      <c r="K23" t="s">
        <v>80</v>
      </c>
      <c r="L23" t="s">
        <v>19</v>
      </c>
      <c r="M23" t="s">
        <v>28</v>
      </c>
      <c r="N23" t="s">
        <v>29</v>
      </c>
    </row>
    <row r="24" spans="1:14" x14ac:dyDescent="0.3">
      <c r="A24" t="s">
        <v>14</v>
      </c>
      <c r="B24" t="s">
        <v>15</v>
      </c>
      <c r="C24" t="s">
        <v>81</v>
      </c>
      <c r="D24" t="s">
        <v>25</v>
      </c>
      <c r="E24" s="1">
        <v>46202</v>
      </c>
      <c r="F24" s="2">
        <v>0.27083333333333331</v>
      </c>
      <c r="G24">
        <v>0</v>
      </c>
      <c r="H24">
        <v>48</v>
      </c>
      <c r="I24">
        <v>3840</v>
      </c>
      <c r="J24">
        <v>37.590000000000003</v>
      </c>
      <c r="K24" t="s">
        <v>82</v>
      </c>
      <c r="L24" t="s">
        <v>19</v>
      </c>
      <c r="M24" t="s">
        <v>28</v>
      </c>
      <c r="N24" t="s">
        <v>45</v>
      </c>
    </row>
    <row r="25" spans="1:14" x14ac:dyDescent="0.3">
      <c r="A25" t="s">
        <v>71</v>
      </c>
      <c r="B25" t="s">
        <v>72</v>
      </c>
      <c r="C25" t="s">
        <v>83</v>
      </c>
      <c r="D25" t="s">
        <v>33</v>
      </c>
      <c r="E25" s="1">
        <v>46192</v>
      </c>
      <c r="F25" s="2">
        <v>0.54166666666666663</v>
      </c>
      <c r="G25">
        <v>0</v>
      </c>
      <c r="H25">
        <v>79</v>
      </c>
      <c r="I25">
        <v>7900</v>
      </c>
      <c r="J25">
        <v>24.87</v>
      </c>
      <c r="K25" t="s">
        <v>84</v>
      </c>
      <c r="L25" t="s">
        <v>37</v>
      </c>
      <c r="M25" t="s">
        <v>28</v>
      </c>
      <c r="N25" t="s">
        <v>29</v>
      </c>
    </row>
    <row r="26" spans="1:14" x14ac:dyDescent="0.3">
      <c r="A26" t="s">
        <v>71</v>
      </c>
      <c r="B26" t="s">
        <v>72</v>
      </c>
      <c r="C26" t="s">
        <v>85</v>
      </c>
      <c r="D26" t="s">
        <v>33</v>
      </c>
      <c r="E26" s="1">
        <v>46199</v>
      </c>
      <c r="F26" s="2">
        <v>0.45833333333333331</v>
      </c>
      <c r="G26">
        <v>0</v>
      </c>
      <c r="H26">
        <v>82</v>
      </c>
      <c r="I26">
        <v>6560</v>
      </c>
      <c r="J26">
        <v>15.5</v>
      </c>
      <c r="K26" t="s">
        <v>86</v>
      </c>
      <c r="L26" t="s">
        <v>27</v>
      </c>
      <c r="M26" t="s">
        <v>28</v>
      </c>
      <c r="N26" t="s">
        <v>29</v>
      </c>
    </row>
    <row r="27" spans="1:14" x14ac:dyDescent="0.3">
      <c r="A27" t="s">
        <v>30</v>
      </c>
      <c r="B27" t="s">
        <v>31</v>
      </c>
      <c r="C27" t="s">
        <v>87</v>
      </c>
      <c r="D27" t="s">
        <v>17</v>
      </c>
      <c r="E27" s="1">
        <v>46176</v>
      </c>
      <c r="F27" s="2">
        <v>0.84375</v>
      </c>
      <c r="G27">
        <v>0</v>
      </c>
      <c r="H27">
        <v>29</v>
      </c>
      <c r="I27">
        <v>2900</v>
      </c>
      <c r="J27">
        <v>30.58</v>
      </c>
      <c r="K27" t="s">
        <v>88</v>
      </c>
      <c r="L27" t="s">
        <v>44</v>
      </c>
      <c r="M27" t="s">
        <v>28</v>
      </c>
      <c r="N27" t="s">
        <v>29</v>
      </c>
    </row>
    <row r="28" spans="1:14" x14ac:dyDescent="0.3">
      <c r="A28" t="s">
        <v>30</v>
      </c>
      <c r="B28" t="s">
        <v>31</v>
      </c>
      <c r="C28" t="s">
        <v>89</v>
      </c>
      <c r="D28" t="s">
        <v>33</v>
      </c>
      <c r="E28" s="1">
        <v>46197</v>
      </c>
      <c r="F28" s="2">
        <v>0.84375</v>
      </c>
      <c r="G28">
        <v>0</v>
      </c>
      <c r="H28">
        <v>10</v>
      </c>
      <c r="I28">
        <v>800</v>
      </c>
      <c r="J28">
        <v>16.88</v>
      </c>
      <c r="K28" t="s">
        <v>90</v>
      </c>
      <c r="L28" t="s">
        <v>19</v>
      </c>
      <c r="M28" t="s">
        <v>28</v>
      </c>
      <c r="N28" t="s">
        <v>29</v>
      </c>
    </row>
    <row r="29" spans="1:14" x14ac:dyDescent="0.3">
      <c r="A29" t="s">
        <v>40</v>
      </c>
      <c r="B29" t="s">
        <v>41</v>
      </c>
      <c r="C29" t="s">
        <v>91</v>
      </c>
      <c r="D29" t="s">
        <v>33</v>
      </c>
      <c r="E29" s="1">
        <v>46181</v>
      </c>
      <c r="F29" s="2">
        <v>0.27083333333333331</v>
      </c>
      <c r="G29">
        <v>50</v>
      </c>
      <c r="H29">
        <v>81</v>
      </c>
      <c r="I29">
        <v>8100</v>
      </c>
      <c r="J29">
        <v>23.65</v>
      </c>
      <c r="K29" t="s">
        <v>92</v>
      </c>
      <c r="L29" t="s">
        <v>27</v>
      </c>
      <c r="M29" t="s">
        <v>28</v>
      </c>
      <c r="N29" t="s">
        <v>21</v>
      </c>
    </row>
    <row r="30" spans="1:14" x14ac:dyDescent="0.3">
      <c r="A30" t="s">
        <v>14</v>
      </c>
      <c r="B30" t="s">
        <v>15</v>
      </c>
      <c r="C30" t="s">
        <v>93</v>
      </c>
      <c r="D30" t="s">
        <v>33</v>
      </c>
      <c r="E30" s="1">
        <v>46175</v>
      </c>
      <c r="F30" s="2">
        <v>0.67708333333333337</v>
      </c>
      <c r="G30">
        <v>0</v>
      </c>
      <c r="H30">
        <v>72</v>
      </c>
      <c r="I30">
        <v>8640</v>
      </c>
      <c r="J30">
        <v>36.36</v>
      </c>
      <c r="K30" t="s">
        <v>94</v>
      </c>
      <c r="L30" t="s">
        <v>19</v>
      </c>
      <c r="M30" t="s">
        <v>28</v>
      </c>
      <c r="N30" t="s">
        <v>45</v>
      </c>
    </row>
    <row r="31" spans="1:14" x14ac:dyDescent="0.3">
      <c r="A31" t="s">
        <v>14</v>
      </c>
      <c r="B31" t="s">
        <v>15</v>
      </c>
      <c r="C31" t="s">
        <v>95</v>
      </c>
      <c r="D31" t="s">
        <v>25</v>
      </c>
      <c r="E31" s="1">
        <v>46181</v>
      </c>
      <c r="F31" s="2">
        <v>0.92708333333333337</v>
      </c>
      <c r="G31">
        <v>0</v>
      </c>
      <c r="H31">
        <v>76</v>
      </c>
      <c r="I31">
        <v>7600</v>
      </c>
      <c r="J31">
        <v>17.350000000000001</v>
      </c>
      <c r="K31" t="s">
        <v>96</v>
      </c>
      <c r="L31" t="s">
        <v>19</v>
      </c>
      <c r="M31" t="s">
        <v>28</v>
      </c>
      <c r="N31" t="s">
        <v>29</v>
      </c>
    </row>
    <row r="32" spans="1:14" x14ac:dyDescent="0.3">
      <c r="A32" t="s">
        <v>30</v>
      </c>
      <c r="B32" t="s">
        <v>31</v>
      </c>
      <c r="C32" t="s">
        <v>97</v>
      </c>
      <c r="D32" t="s">
        <v>17</v>
      </c>
      <c r="E32" s="1">
        <v>46200</v>
      </c>
      <c r="F32" s="2">
        <v>0.5625</v>
      </c>
      <c r="G32">
        <v>52</v>
      </c>
      <c r="H32">
        <v>13</v>
      </c>
      <c r="I32">
        <v>1040</v>
      </c>
      <c r="J32">
        <v>32.195</v>
      </c>
      <c r="K32" t="s">
        <v>98</v>
      </c>
      <c r="L32" t="s">
        <v>19</v>
      </c>
      <c r="M32" t="s">
        <v>20</v>
      </c>
      <c r="N32" t="s">
        <v>21</v>
      </c>
    </row>
    <row r="33" spans="1:14" x14ac:dyDescent="0.3">
      <c r="A33" t="s">
        <v>14</v>
      </c>
      <c r="B33" t="s">
        <v>15</v>
      </c>
      <c r="C33" t="s">
        <v>99</v>
      </c>
      <c r="D33" t="s">
        <v>47</v>
      </c>
      <c r="E33" s="1">
        <v>46186</v>
      </c>
      <c r="F33" s="2">
        <v>0.54166666666666663</v>
      </c>
      <c r="G33">
        <v>64</v>
      </c>
      <c r="H33">
        <v>67</v>
      </c>
      <c r="I33">
        <v>8040</v>
      </c>
      <c r="J33">
        <v>15.61</v>
      </c>
      <c r="K33" t="s">
        <v>100</v>
      </c>
      <c r="L33" t="s">
        <v>19</v>
      </c>
      <c r="M33" t="s">
        <v>20</v>
      </c>
      <c r="N33" t="s">
        <v>21</v>
      </c>
    </row>
    <row r="34" spans="1:14" x14ac:dyDescent="0.3">
      <c r="A34" t="s">
        <v>14</v>
      </c>
      <c r="B34" t="s">
        <v>15</v>
      </c>
      <c r="C34" t="s">
        <v>101</v>
      </c>
      <c r="D34" t="s">
        <v>25</v>
      </c>
      <c r="E34" s="1">
        <v>46186</v>
      </c>
      <c r="F34" s="2">
        <v>0.72916666666666663</v>
      </c>
      <c r="G34">
        <v>31</v>
      </c>
      <c r="H34">
        <v>34</v>
      </c>
      <c r="I34">
        <v>3400</v>
      </c>
      <c r="J34">
        <v>22.78</v>
      </c>
      <c r="K34" t="s">
        <v>102</v>
      </c>
      <c r="L34" t="s">
        <v>37</v>
      </c>
      <c r="M34" t="s">
        <v>20</v>
      </c>
      <c r="N34" t="s">
        <v>21</v>
      </c>
    </row>
    <row r="35" spans="1:14" x14ac:dyDescent="0.3">
      <c r="A35" t="s">
        <v>71</v>
      </c>
      <c r="B35" t="s">
        <v>72</v>
      </c>
      <c r="C35" t="s">
        <v>103</v>
      </c>
      <c r="D35" t="s">
        <v>33</v>
      </c>
      <c r="E35" s="1">
        <v>46174</v>
      </c>
      <c r="F35" s="2">
        <v>0.54166666666666663</v>
      </c>
      <c r="G35">
        <v>32</v>
      </c>
      <c r="H35">
        <v>56</v>
      </c>
      <c r="I35">
        <v>6720</v>
      </c>
      <c r="J35">
        <v>37.36</v>
      </c>
      <c r="K35" t="s">
        <v>104</v>
      </c>
      <c r="L35" t="s">
        <v>27</v>
      </c>
      <c r="M35" t="s">
        <v>28</v>
      </c>
      <c r="N35" t="s">
        <v>21</v>
      </c>
    </row>
    <row r="36" spans="1:14" x14ac:dyDescent="0.3">
      <c r="A36" t="s">
        <v>30</v>
      </c>
      <c r="B36" t="s">
        <v>31</v>
      </c>
      <c r="C36" t="s">
        <v>105</v>
      </c>
      <c r="D36" t="s">
        <v>25</v>
      </c>
      <c r="E36" s="1">
        <v>46179</v>
      </c>
      <c r="F36" s="2">
        <v>0.82291666666666663</v>
      </c>
      <c r="G36">
        <v>63</v>
      </c>
      <c r="H36">
        <v>47</v>
      </c>
      <c r="I36">
        <v>4700</v>
      </c>
      <c r="J36">
        <v>24.83</v>
      </c>
      <c r="K36" t="s">
        <v>106</v>
      </c>
      <c r="L36" t="s">
        <v>27</v>
      </c>
      <c r="M36" t="s">
        <v>20</v>
      </c>
      <c r="N36" t="s">
        <v>21</v>
      </c>
    </row>
    <row r="37" spans="1:14" x14ac:dyDescent="0.3">
      <c r="A37" t="s">
        <v>22</v>
      </c>
      <c r="B37" t="s">
        <v>23</v>
      </c>
      <c r="C37" t="s">
        <v>107</v>
      </c>
      <c r="D37" t="s">
        <v>33</v>
      </c>
      <c r="E37" s="1">
        <v>46197</v>
      </c>
      <c r="F37" s="2">
        <v>0.25</v>
      </c>
      <c r="G37">
        <v>0</v>
      </c>
      <c r="H37">
        <v>24</v>
      </c>
      <c r="I37">
        <v>2880</v>
      </c>
      <c r="J37">
        <v>18.510000000000002</v>
      </c>
      <c r="K37" t="s">
        <v>108</v>
      </c>
      <c r="L37" t="s">
        <v>27</v>
      </c>
      <c r="M37" t="s">
        <v>28</v>
      </c>
      <c r="N37" t="s">
        <v>29</v>
      </c>
    </row>
    <row r="38" spans="1:14" x14ac:dyDescent="0.3">
      <c r="A38" t="s">
        <v>30</v>
      </c>
      <c r="B38" t="s">
        <v>31</v>
      </c>
      <c r="C38" t="s">
        <v>109</v>
      </c>
      <c r="D38" t="s">
        <v>33</v>
      </c>
      <c r="E38" s="1">
        <v>46192</v>
      </c>
      <c r="F38" s="2">
        <v>0.88541666666666663</v>
      </c>
      <c r="G38">
        <v>0</v>
      </c>
      <c r="H38">
        <v>72</v>
      </c>
      <c r="I38">
        <v>5760</v>
      </c>
      <c r="J38">
        <v>26.13</v>
      </c>
      <c r="K38" t="s">
        <v>110</v>
      </c>
      <c r="L38" t="s">
        <v>19</v>
      </c>
      <c r="M38" t="s">
        <v>28</v>
      </c>
      <c r="N38" t="s">
        <v>29</v>
      </c>
    </row>
    <row r="39" spans="1:14" x14ac:dyDescent="0.3">
      <c r="A39" t="s">
        <v>22</v>
      </c>
      <c r="B39" t="s">
        <v>23</v>
      </c>
      <c r="C39" t="s">
        <v>111</v>
      </c>
      <c r="D39" t="s">
        <v>25</v>
      </c>
      <c r="E39" s="1">
        <v>46189</v>
      </c>
      <c r="F39" s="2">
        <v>0.875</v>
      </c>
      <c r="G39">
        <v>21</v>
      </c>
      <c r="H39">
        <v>30</v>
      </c>
      <c r="I39">
        <v>3000</v>
      </c>
      <c r="J39">
        <v>23.48</v>
      </c>
      <c r="K39" t="s">
        <v>112</v>
      </c>
      <c r="L39" t="s">
        <v>37</v>
      </c>
      <c r="M39" t="s">
        <v>28</v>
      </c>
      <c r="N39" t="s">
        <v>21</v>
      </c>
    </row>
    <row r="40" spans="1:14" x14ac:dyDescent="0.3">
      <c r="A40" t="s">
        <v>71</v>
      </c>
      <c r="B40" t="s">
        <v>72</v>
      </c>
      <c r="C40" t="s">
        <v>113</v>
      </c>
      <c r="D40" t="s">
        <v>17</v>
      </c>
      <c r="E40" s="1">
        <v>46181</v>
      </c>
      <c r="F40" s="2">
        <v>0.59375</v>
      </c>
      <c r="G40">
        <v>0</v>
      </c>
      <c r="H40">
        <v>66</v>
      </c>
      <c r="I40">
        <v>6600</v>
      </c>
      <c r="J40">
        <v>40.36</v>
      </c>
      <c r="K40" t="s">
        <v>114</v>
      </c>
      <c r="L40" t="s">
        <v>19</v>
      </c>
      <c r="M40" t="s">
        <v>28</v>
      </c>
      <c r="N40" t="s">
        <v>29</v>
      </c>
    </row>
    <row r="41" spans="1:14" x14ac:dyDescent="0.3">
      <c r="A41" t="s">
        <v>40</v>
      </c>
      <c r="B41" t="s">
        <v>41</v>
      </c>
      <c r="C41" t="s">
        <v>115</v>
      </c>
      <c r="D41" t="s">
        <v>33</v>
      </c>
      <c r="E41" s="1">
        <v>46201</v>
      </c>
      <c r="F41" s="2">
        <v>0.30208333333333331</v>
      </c>
      <c r="G41">
        <v>0</v>
      </c>
      <c r="H41">
        <v>62</v>
      </c>
      <c r="I41">
        <v>4960</v>
      </c>
      <c r="J41">
        <v>24.74</v>
      </c>
      <c r="K41" t="s">
        <v>116</v>
      </c>
      <c r="L41" t="s">
        <v>19</v>
      </c>
      <c r="M41" t="s">
        <v>20</v>
      </c>
      <c r="N41" t="s">
        <v>29</v>
      </c>
    </row>
    <row r="42" spans="1:14" x14ac:dyDescent="0.3">
      <c r="A42" t="s">
        <v>14</v>
      </c>
      <c r="B42" t="s">
        <v>15</v>
      </c>
      <c r="C42" t="s">
        <v>117</v>
      </c>
      <c r="D42" t="s">
        <v>17</v>
      </c>
      <c r="E42" s="1">
        <v>46174</v>
      </c>
      <c r="F42" s="2">
        <v>0.47916666666666669</v>
      </c>
      <c r="G42">
        <v>0</v>
      </c>
      <c r="H42">
        <v>55</v>
      </c>
      <c r="I42">
        <v>6600</v>
      </c>
      <c r="J42">
        <v>38.770000000000003</v>
      </c>
      <c r="K42" t="s">
        <v>118</v>
      </c>
      <c r="L42" t="s">
        <v>27</v>
      </c>
      <c r="M42" t="s">
        <v>28</v>
      </c>
      <c r="N42" t="s">
        <v>29</v>
      </c>
    </row>
    <row r="43" spans="1:14" x14ac:dyDescent="0.3">
      <c r="A43" t="s">
        <v>71</v>
      </c>
      <c r="B43" t="s">
        <v>72</v>
      </c>
      <c r="C43" t="s">
        <v>119</v>
      </c>
      <c r="D43" t="s">
        <v>47</v>
      </c>
      <c r="E43" s="1">
        <v>46200</v>
      </c>
      <c r="F43" s="2">
        <v>0.58333333333333337</v>
      </c>
      <c r="G43">
        <v>42</v>
      </c>
      <c r="H43">
        <v>23</v>
      </c>
      <c r="I43">
        <v>1840</v>
      </c>
      <c r="J43">
        <v>41.81</v>
      </c>
      <c r="K43" t="s">
        <v>120</v>
      </c>
      <c r="L43" t="s">
        <v>19</v>
      </c>
      <c r="M43" t="s">
        <v>20</v>
      </c>
      <c r="N43" t="s">
        <v>21</v>
      </c>
    </row>
    <row r="44" spans="1:14" x14ac:dyDescent="0.3">
      <c r="A44" t="s">
        <v>14</v>
      </c>
      <c r="B44" t="s">
        <v>15</v>
      </c>
      <c r="C44" t="s">
        <v>121</v>
      </c>
      <c r="D44" t="s">
        <v>33</v>
      </c>
      <c r="E44" s="1">
        <v>46200</v>
      </c>
      <c r="F44" s="2">
        <v>0.58333333333333337</v>
      </c>
      <c r="G44">
        <v>0</v>
      </c>
      <c r="H44">
        <v>26</v>
      </c>
      <c r="I44">
        <v>2080</v>
      </c>
      <c r="J44">
        <v>28.3</v>
      </c>
      <c r="K44" t="s">
        <v>122</v>
      </c>
      <c r="L44" t="s">
        <v>44</v>
      </c>
      <c r="M44" t="s">
        <v>20</v>
      </c>
      <c r="N44" t="s">
        <v>29</v>
      </c>
    </row>
    <row r="45" spans="1:14" x14ac:dyDescent="0.3">
      <c r="A45" t="s">
        <v>40</v>
      </c>
      <c r="B45" t="s">
        <v>41</v>
      </c>
      <c r="C45" t="s">
        <v>123</v>
      </c>
      <c r="D45" t="s">
        <v>17</v>
      </c>
      <c r="E45" s="1">
        <v>46189</v>
      </c>
      <c r="F45" s="2">
        <v>0.875</v>
      </c>
      <c r="G45">
        <v>0</v>
      </c>
      <c r="H45">
        <v>48</v>
      </c>
      <c r="I45">
        <v>5760</v>
      </c>
      <c r="J45">
        <v>42.34</v>
      </c>
      <c r="K45" t="s">
        <v>124</v>
      </c>
      <c r="L45" t="s">
        <v>19</v>
      </c>
      <c r="M45" t="s">
        <v>28</v>
      </c>
      <c r="N45" t="s">
        <v>29</v>
      </c>
    </row>
    <row r="46" spans="1:14" x14ac:dyDescent="0.3">
      <c r="A46" t="s">
        <v>40</v>
      </c>
      <c r="B46" t="s">
        <v>41</v>
      </c>
      <c r="C46" t="s">
        <v>125</v>
      </c>
      <c r="D46" t="s">
        <v>17</v>
      </c>
      <c r="E46" s="1">
        <v>46182</v>
      </c>
      <c r="F46" s="2">
        <v>0.58333333333333337</v>
      </c>
      <c r="G46">
        <v>61</v>
      </c>
      <c r="H46">
        <v>18</v>
      </c>
      <c r="I46">
        <v>1440</v>
      </c>
      <c r="J46">
        <v>26.63</v>
      </c>
      <c r="K46" t="s">
        <v>126</v>
      </c>
      <c r="L46" t="s">
        <v>44</v>
      </c>
      <c r="M46" t="s">
        <v>28</v>
      </c>
      <c r="N46" t="s">
        <v>21</v>
      </c>
    </row>
    <row r="47" spans="1:14" x14ac:dyDescent="0.3">
      <c r="A47" t="s">
        <v>71</v>
      </c>
      <c r="B47" t="s">
        <v>72</v>
      </c>
      <c r="C47" t="s">
        <v>127</v>
      </c>
      <c r="D47" t="s">
        <v>47</v>
      </c>
      <c r="E47" s="1">
        <v>46186</v>
      </c>
      <c r="F47" s="2">
        <v>0.77083333333333337</v>
      </c>
      <c r="G47">
        <v>0</v>
      </c>
      <c r="H47">
        <v>15</v>
      </c>
      <c r="I47">
        <v>1500</v>
      </c>
      <c r="J47">
        <v>43.94</v>
      </c>
      <c r="K47" t="s">
        <v>128</v>
      </c>
      <c r="L47" t="s">
        <v>19</v>
      </c>
      <c r="M47" t="s">
        <v>20</v>
      </c>
      <c r="N47" t="s">
        <v>29</v>
      </c>
    </row>
    <row r="48" spans="1:14" x14ac:dyDescent="0.3">
      <c r="A48" t="s">
        <v>40</v>
      </c>
      <c r="B48" t="s">
        <v>41</v>
      </c>
      <c r="C48" t="s">
        <v>129</v>
      </c>
      <c r="D48" t="s">
        <v>17</v>
      </c>
      <c r="E48" s="1">
        <v>46184</v>
      </c>
      <c r="F48" s="2">
        <v>0.60416666666666663</v>
      </c>
      <c r="G48">
        <v>0</v>
      </c>
      <c r="H48">
        <v>32</v>
      </c>
      <c r="I48">
        <v>3200</v>
      </c>
      <c r="J48">
        <v>18.13</v>
      </c>
      <c r="K48" t="s">
        <v>130</v>
      </c>
      <c r="L48" t="s">
        <v>37</v>
      </c>
      <c r="M48" t="s">
        <v>28</v>
      </c>
      <c r="N48" t="s">
        <v>29</v>
      </c>
    </row>
    <row r="49" spans="1:14" x14ac:dyDescent="0.3">
      <c r="A49" t="s">
        <v>22</v>
      </c>
      <c r="B49" t="s">
        <v>23</v>
      </c>
      <c r="C49" t="s">
        <v>131</v>
      </c>
      <c r="D49" t="s">
        <v>17</v>
      </c>
      <c r="E49" s="1">
        <v>46186</v>
      </c>
      <c r="F49" s="2">
        <v>0.38541666666666669</v>
      </c>
      <c r="G49">
        <v>35</v>
      </c>
      <c r="H49">
        <v>68</v>
      </c>
      <c r="I49">
        <v>6800</v>
      </c>
      <c r="J49">
        <v>35.770000000000003</v>
      </c>
      <c r="K49" t="s">
        <v>132</v>
      </c>
      <c r="L49" t="s">
        <v>37</v>
      </c>
      <c r="M49" t="s">
        <v>20</v>
      </c>
      <c r="N49" t="s">
        <v>21</v>
      </c>
    </row>
    <row r="50" spans="1:14" x14ac:dyDescent="0.3">
      <c r="A50" t="s">
        <v>40</v>
      </c>
      <c r="B50" t="s">
        <v>41</v>
      </c>
      <c r="C50" t="s">
        <v>133</v>
      </c>
      <c r="D50" t="s">
        <v>47</v>
      </c>
      <c r="E50" s="1">
        <v>46198</v>
      </c>
      <c r="F50" s="2">
        <v>0.46875</v>
      </c>
      <c r="G50">
        <v>44</v>
      </c>
      <c r="H50">
        <v>55</v>
      </c>
      <c r="I50">
        <v>4400</v>
      </c>
      <c r="J50">
        <v>30.07</v>
      </c>
      <c r="K50" t="s">
        <v>134</v>
      </c>
      <c r="L50" t="s">
        <v>27</v>
      </c>
      <c r="M50" t="s">
        <v>28</v>
      </c>
      <c r="N50" t="s">
        <v>21</v>
      </c>
    </row>
    <row r="51" spans="1:14" x14ac:dyDescent="0.3">
      <c r="A51" t="s">
        <v>14</v>
      </c>
      <c r="B51" t="s">
        <v>15</v>
      </c>
      <c r="C51" t="s">
        <v>135</v>
      </c>
      <c r="D51" t="s">
        <v>33</v>
      </c>
      <c r="E51" s="1">
        <v>46194</v>
      </c>
      <c r="F51" s="2">
        <v>0.38541666666666669</v>
      </c>
      <c r="G51">
        <v>43</v>
      </c>
      <c r="H51">
        <v>47</v>
      </c>
      <c r="I51">
        <v>4700</v>
      </c>
      <c r="J51">
        <v>26.94</v>
      </c>
      <c r="K51" t="s">
        <v>126</v>
      </c>
      <c r="L51" t="s">
        <v>19</v>
      </c>
      <c r="M51" t="s">
        <v>20</v>
      </c>
      <c r="N51" t="s">
        <v>21</v>
      </c>
    </row>
    <row r="52" spans="1:14" x14ac:dyDescent="0.3">
      <c r="A52" t="s">
        <v>14</v>
      </c>
      <c r="B52" t="s">
        <v>15</v>
      </c>
      <c r="C52" t="s">
        <v>136</v>
      </c>
      <c r="D52" t="s">
        <v>17</v>
      </c>
      <c r="E52" s="1">
        <v>46183</v>
      </c>
      <c r="F52" s="2">
        <v>0.46875</v>
      </c>
      <c r="G52">
        <v>0</v>
      </c>
      <c r="H52">
        <v>23</v>
      </c>
      <c r="I52">
        <v>2300</v>
      </c>
      <c r="J52">
        <v>34.17</v>
      </c>
      <c r="K52" t="s">
        <v>137</v>
      </c>
      <c r="L52" t="s">
        <v>44</v>
      </c>
      <c r="M52" t="s">
        <v>28</v>
      </c>
      <c r="N52" t="s">
        <v>29</v>
      </c>
    </row>
    <row r="53" spans="1:14" x14ac:dyDescent="0.3">
      <c r="A53" t="s">
        <v>14</v>
      </c>
      <c r="B53" t="s">
        <v>15</v>
      </c>
      <c r="C53" t="s">
        <v>138</v>
      </c>
      <c r="D53" t="s">
        <v>17</v>
      </c>
      <c r="E53" s="1">
        <v>46177</v>
      </c>
      <c r="F53" s="2">
        <v>0.75</v>
      </c>
      <c r="G53">
        <v>0</v>
      </c>
      <c r="H53">
        <v>81</v>
      </c>
      <c r="I53">
        <v>8100</v>
      </c>
      <c r="J53">
        <v>36.26</v>
      </c>
      <c r="K53" t="s">
        <v>139</v>
      </c>
      <c r="L53" t="s">
        <v>44</v>
      </c>
      <c r="M53" t="s">
        <v>28</v>
      </c>
      <c r="N53" t="s">
        <v>29</v>
      </c>
    </row>
    <row r="54" spans="1:14" x14ac:dyDescent="0.3">
      <c r="A54" t="s">
        <v>14</v>
      </c>
      <c r="B54" t="s">
        <v>15</v>
      </c>
      <c r="C54" t="s">
        <v>140</v>
      </c>
      <c r="D54" t="s">
        <v>17</v>
      </c>
      <c r="E54" s="1">
        <v>46200</v>
      </c>
      <c r="F54" s="2">
        <v>0.77083333333333337</v>
      </c>
      <c r="G54">
        <v>25</v>
      </c>
      <c r="H54">
        <v>71</v>
      </c>
      <c r="I54">
        <v>7100</v>
      </c>
      <c r="J54">
        <v>15.63</v>
      </c>
      <c r="K54" t="s">
        <v>141</v>
      </c>
      <c r="L54" t="s">
        <v>19</v>
      </c>
      <c r="M54" t="s">
        <v>20</v>
      </c>
      <c r="N54" t="s">
        <v>21</v>
      </c>
    </row>
    <row r="55" spans="1:14" x14ac:dyDescent="0.3">
      <c r="A55" t="s">
        <v>22</v>
      </c>
      <c r="B55" t="s">
        <v>23</v>
      </c>
      <c r="C55" t="s">
        <v>142</v>
      </c>
      <c r="D55" t="s">
        <v>25</v>
      </c>
      <c r="E55" s="1">
        <v>46179</v>
      </c>
      <c r="F55" s="2">
        <v>0.28125</v>
      </c>
      <c r="G55">
        <v>47</v>
      </c>
      <c r="H55">
        <v>44</v>
      </c>
      <c r="I55">
        <v>4400</v>
      </c>
      <c r="J55">
        <v>20.43</v>
      </c>
      <c r="K55" t="s">
        <v>143</v>
      </c>
      <c r="L55" t="s">
        <v>44</v>
      </c>
      <c r="M55" t="s">
        <v>20</v>
      </c>
      <c r="N55" t="s">
        <v>21</v>
      </c>
    </row>
    <row r="56" spans="1:14" x14ac:dyDescent="0.3">
      <c r="A56" t="s">
        <v>30</v>
      </c>
      <c r="B56" t="s">
        <v>31</v>
      </c>
      <c r="C56" t="s">
        <v>144</v>
      </c>
      <c r="D56" t="s">
        <v>47</v>
      </c>
      <c r="E56" s="1">
        <v>46201</v>
      </c>
      <c r="F56" s="2">
        <v>0.5</v>
      </c>
      <c r="G56">
        <v>22</v>
      </c>
      <c r="H56">
        <v>28</v>
      </c>
      <c r="I56">
        <v>2800</v>
      </c>
      <c r="J56">
        <v>36.53</v>
      </c>
      <c r="K56" t="s">
        <v>145</v>
      </c>
      <c r="L56" t="s">
        <v>37</v>
      </c>
      <c r="M56" t="s">
        <v>20</v>
      </c>
      <c r="N56" t="s">
        <v>21</v>
      </c>
    </row>
    <row r="57" spans="1:14" x14ac:dyDescent="0.3">
      <c r="A57" t="s">
        <v>71</v>
      </c>
      <c r="B57" t="s">
        <v>72</v>
      </c>
      <c r="C57" t="s">
        <v>146</v>
      </c>
      <c r="D57" t="s">
        <v>25</v>
      </c>
      <c r="E57" s="1">
        <v>46180</v>
      </c>
      <c r="F57" s="2">
        <v>0.83333333333333337</v>
      </c>
      <c r="G57">
        <v>0</v>
      </c>
      <c r="H57">
        <v>39</v>
      </c>
      <c r="I57">
        <v>3120</v>
      </c>
      <c r="J57">
        <v>35.159999999999997</v>
      </c>
      <c r="K57" t="s">
        <v>147</v>
      </c>
      <c r="L57" t="s">
        <v>44</v>
      </c>
      <c r="M57" t="s">
        <v>20</v>
      </c>
      <c r="N57" t="s">
        <v>45</v>
      </c>
    </row>
    <row r="58" spans="1:14" x14ac:dyDescent="0.3">
      <c r="A58" t="s">
        <v>14</v>
      </c>
      <c r="B58" t="s">
        <v>15</v>
      </c>
      <c r="C58" t="s">
        <v>148</v>
      </c>
      <c r="D58" t="s">
        <v>47</v>
      </c>
      <c r="E58" s="1">
        <v>46178</v>
      </c>
      <c r="F58" s="2">
        <v>0.71875</v>
      </c>
      <c r="G58">
        <v>63</v>
      </c>
      <c r="H58">
        <v>34</v>
      </c>
      <c r="I58">
        <v>3400</v>
      </c>
      <c r="J58">
        <v>44</v>
      </c>
      <c r="K58" t="s">
        <v>149</v>
      </c>
      <c r="L58" t="s">
        <v>27</v>
      </c>
      <c r="M58" t="s">
        <v>28</v>
      </c>
      <c r="N58" t="s">
        <v>21</v>
      </c>
    </row>
    <row r="59" spans="1:14" x14ac:dyDescent="0.3">
      <c r="A59" t="s">
        <v>40</v>
      </c>
      <c r="B59" t="s">
        <v>41</v>
      </c>
      <c r="C59" t="s">
        <v>150</v>
      </c>
      <c r="D59" t="s">
        <v>33</v>
      </c>
      <c r="E59" s="1">
        <v>46184</v>
      </c>
      <c r="F59" s="2">
        <v>0.52083333333333337</v>
      </c>
      <c r="G59">
        <v>0</v>
      </c>
      <c r="H59">
        <v>49</v>
      </c>
      <c r="I59">
        <v>4900</v>
      </c>
      <c r="J59">
        <v>37.950000000000003</v>
      </c>
      <c r="K59" t="s">
        <v>151</v>
      </c>
      <c r="L59" t="s">
        <v>37</v>
      </c>
      <c r="M59" t="s">
        <v>28</v>
      </c>
      <c r="N59" t="s">
        <v>29</v>
      </c>
    </row>
    <row r="60" spans="1:14" x14ac:dyDescent="0.3">
      <c r="A60" t="s">
        <v>14</v>
      </c>
      <c r="B60" t="s">
        <v>15</v>
      </c>
      <c r="C60" t="s">
        <v>152</v>
      </c>
      <c r="D60" t="s">
        <v>33</v>
      </c>
      <c r="E60" s="1">
        <v>46186</v>
      </c>
      <c r="F60" s="2">
        <v>0.25</v>
      </c>
      <c r="G60">
        <v>25</v>
      </c>
      <c r="H60">
        <v>23</v>
      </c>
      <c r="I60">
        <v>2760</v>
      </c>
      <c r="J60">
        <v>43.55</v>
      </c>
      <c r="K60" t="s">
        <v>153</v>
      </c>
      <c r="L60" t="s">
        <v>37</v>
      </c>
      <c r="M60" t="s">
        <v>20</v>
      </c>
      <c r="N60" t="s">
        <v>21</v>
      </c>
    </row>
    <row r="61" spans="1:14" x14ac:dyDescent="0.3">
      <c r="A61" t="s">
        <v>40</v>
      </c>
      <c r="B61" t="s">
        <v>41</v>
      </c>
      <c r="C61" t="s">
        <v>154</v>
      </c>
      <c r="D61" t="s">
        <v>17</v>
      </c>
      <c r="E61" s="1">
        <v>46199</v>
      </c>
      <c r="F61" s="2">
        <v>0.9375</v>
      </c>
      <c r="G61">
        <v>0</v>
      </c>
      <c r="H61">
        <v>35</v>
      </c>
      <c r="I61">
        <v>2800</v>
      </c>
      <c r="J61">
        <v>32.195</v>
      </c>
      <c r="K61" t="s">
        <v>155</v>
      </c>
      <c r="L61" t="s">
        <v>37</v>
      </c>
      <c r="M61" t="s">
        <v>28</v>
      </c>
      <c r="N61" t="s">
        <v>45</v>
      </c>
    </row>
    <row r="62" spans="1:14" x14ac:dyDescent="0.3">
      <c r="A62" t="s">
        <v>40</v>
      </c>
      <c r="B62" t="s">
        <v>41</v>
      </c>
      <c r="C62" t="s">
        <v>156</v>
      </c>
      <c r="D62" t="s">
        <v>47</v>
      </c>
      <c r="E62" s="1">
        <v>46198</v>
      </c>
      <c r="F62" s="2">
        <v>0.71875</v>
      </c>
      <c r="G62">
        <v>57</v>
      </c>
      <c r="H62">
        <v>31</v>
      </c>
      <c r="I62">
        <v>2480</v>
      </c>
      <c r="J62">
        <v>24.29</v>
      </c>
      <c r="K62" t="s">
        <v>157</v>
      </c>
      <c r="L62" t="s">
        <v>19</v>
      </c>
      <c r="M62" t="s">
        <v>28</v>
      </c>
      <c r="N62" t="s">
        <v>21</v>
      </c>
    </row>
    <row r="63" spans="1:14" x14ac:dyDescent="0.3">
      <c r="A63" t="s">
        <v>14</v>
      </c>
      <c r="B63" t="s">
        <v>15</v>
      </c>
      <c r="C63" t="s">
        <v>158</v>
      </c>
      <c r="D63" t="s">
        <v>33</v>
      </c>
      <c r="E63" s="1">
        <v>46192</v>
      </c>
      <c r="F63" s="2">
        <v>0.6875</v>
      </c>
      <c r="G63">
        <v>0</v>
      </c>
      <c r="H63">
        <v>57</v>
      </c>
      <c r="I63">
        <v>4560</v>
      </c>
      <c r="J63">
        <v>18.61</v>
      </c>
      <c r="K63" t="s">
        <v>159</v>
      </c>
      <c r="L63" t="s">
        <v>19</v>
      </c>
      <c r="M63" t="s">
        <v>28</v>
      </c>
      <c r="N63" t="s">
        <v>29</v>
      </c>
    </row>
    <row r="64" spans="1:14" x14ac:dyDescent="0.3">
      <c r="A64" t="s">
        <v>22</v>
      </c>
      <c r="B64" t="s">
        <v>23</v>
      </c>
      <c r="C64" t="s">
        <v>160</v>
      </c>
      <c r="D64" t="s">
        <v>47</v>
      </c>
      <c r="E64" s="1">
        <v>46196</v>
      </c>
      <c r="F64" s="2">
        <v>0.55208333333333337</v>
      </c>
      <c r="G64">
        <v>54</v>
      </c>
      <c r="H64">
        <v>60</v>
      </c>
      <c r="I64">
        <v>4800</v>
      </c>
      <c r="J64">
        <v>38.56</v>
      </c>
      <c r="K64" t="s">
        <v>161</v>
      </c>
      <c r="L64" t="s">
        <v>37</v>
      </c>
      <c r="M64" t="s">
        <v>28</v>
      </c>
      <c r="N64" t="s">
        <v>21</v>
      </c>
    </row>
    <row r="65" spans="1:14" x14ac:dyDescent="0.3">
      <c r="A65" t="s">
        <v>40</v>
      </c>
      <c r="B65" t="s">
        <v>41</v>
      </c>
      <c r="C65" t="s">
        <v>162</v>
      </c>
      <c r="D65" t="s">
        <v>33</v>
      </c>
      <c r="E65" s="1">
        <v>46183</v>
      </c>
      <c r="F65" s="2">
        <v>0.80208333333333337</v>
      </c>
      <c r="G65">
        <v>0</v>
      </c>
      <c r="H65">
        <v>12</v>
      </c>
      <c r="I65">
        <v>1200</v>
      </c>
      <c r="J65">
        <v>34.5</v>
      </c>
      <c r="K65" t="s">
        <v>163</v>
      </c>
      <c r="L65" t="s">
        <v>19</v>
      </c>
      <c r="M65" t="s">
        <v>28</v>
      </c>
      <c r="N65" t="s">
        <v>45</v>
      </c>
    </row>
    <row r="66" spans="1:14" x14ac:dyDescent="0.3">
      <c r="A66" t="s">
        <v>40</v>
      </c>
      <c r="B66" t="s">
        <v>41</v>
      </c>
      <c r="C66" t="s">
        <v>164</v>
      </c>
      <c r="D66" t="s">
        <v>25</v>
      </c>
      <c r="E66" s="1">
        <v>46183</v>
      </c>
      <c r="F66" s="2">
        <v>0.30208333333333331</v>
      </c>
      <c r="G66">
        <v>0</v>
      </c>
      <c r="H66">
        <v>51</v>
      </c>
      <c r="I66">
        <v>5100</v>
      </c>
      <c r="J66">
        <v>16.920000000000002</v>
      </c>
      <c r="K66" t="s">
        <v>165</v>
      </c>
      <c r="L66" t="s">
        <v>44</v>
      </c>
      <c r="M66" t="s">
        <v>28</v>
      </c>
      <c r="N66" t="s">
        <v>45</v>
      </c>
    </row>
    <row r="67" spans="1:14" x14ac:dyDescent="0.3">
      <c r="A67" t="s">
        <v>14</v>
      </c>
      <c r="B67" t="s">
        <v>15</v>
      </c>
      <c r="C67" t="s">
        <v>166</v>
      </c>
      <c r="D67" t="s">
        <v>33</v>
      </c>
      <c r="E67" s="1">
        <v>46184</v>
      </c>
      <c r="F67" s="2">
        <v>0.60416666666666663</v>
      </c>
      <c r="G67">
        <v>53</v>
      </c>
      <c r="H67">
        <v>28</v>
      </c>
      <c r="I67">
        <v>3360</v>
      </c>
      <c r="J67">
        <v>26.12</v>
      </c>
      <c r="K67" t="s">
        <v>167</v>
      </c>
      <c r="L67" t="s">
        <v>19</v>
      </c>
      <c r="M67" t="s">
        <v>28</v>
      </c>
      <c r="N67" t="s">
        <v>21</v>
      </c>
    </row>
    <row r="68" spans="1:14" x14ac:dyDescent="0.3">
      <c r="A68" t="s">
        <v>40</v>
      </c>
      <c r="B68" t="s">
        <v>41</v>
      </c>
      <c r="C68" t="s">
        <v>168</v>
      </c>
      <c r="D68" t="s">
        <v>25</v>
      </c>
      <c r="E68" s="1">
        <v>46194</v>
      </c>
      <c r="F68" s="2">
        <v>0.57291666666666663</v>
      </c>
      <c r="G68">
        <v>0</v>
      </c>
      <c r="H68">
        <v>82</v>
      </c>
      <c r="I68">
        <v>9840</v>
      </c>
      <c r="J68">
        <v>43.73</v>
      </c>
      <c r="K68" t="s">
        <v>169</v>
      </c>
      <c r="L68" t="s">
        <v>19</v>
      </c>
      <c r="M68" t="s">
        <v>20</v>
      </c>
      <c r="N68" t="s">
        <v>29</v>
      </c>
    </row>
    <row r="69" spans="1:14" x14ac:dyDescent="0.3">
      <c r="A69" t="s">
        <v>40</v>
      </c>
      <c r="B69" t="s">
        <v>41</v>
      </c>
      <c r="C69" t="s">
        <v>170</v>
      </c>
      <c r="D69" t="s">
        <v>33</v>
      </c>
      <c r="E69" s="1">
        <v>46203</v>
      </c>
      <c r="F69" s="2">
        <v>0.30208333333333331</v>
      </c>
      <c r="G69">
        <v>64</v>
      </c>
      <c r="H69">
        <v>37</v>
      </c>
      <c r="I69">
        <v>2960</v>
      </c>
      <c r="J69">
        <v>30.26</v>
      </c>
      <c r="K69" t="s">
        <v>171</v>
      </c>
      <c r="L69" t="s">
        <v>37</v>
      </c>
      <c r="M69" t="s">
        <v>28</v>
      </c>
      <c r="N69" t="s">
        <v>21</v>
      </c>
    </row>
    <row r="70" spans="1:14" x14ac:dyDescent="0.3">
      <c r="A70" t="s">
        <v>14</v>
      </c>
      <c r="B70" t="s">
        <v>15</v>
      </c>
      <c r="C70" t="s">
        <v>172</v>
      </c>
      <c r="D70" t="s">
        <v>17</v>
      </c>
      <c r="E70" s="1">
        <v>46180</v>
      </c>
      <c r="F70" s="2">
        <v>0.70833333333333337</v>
      </c>
      <c r="G70">
        <v>0</v>
      </c>
      <c r="H70">
        <v>54</v>
      </c>
      <c r="I70">
        <v>6480</v>
      </c>
      <c r="J70">
        <v>28.27</v>
      </c>
      <c r="K70" t="s">
        <v>173</v>
      </c>
      <c r="L70" t="s">
        <v>27</v>
      </c>
      <c r="M70" t="s">
        <v>20</v>
      </c>
      <c r="N70" t="s">
        <v>45</v>
      </c>
    </row>
    <row r="71" spans="1:14" x14ac:dyDescent="0.3">
      <c r="A71" t="s">
        <v>14</v>
      </c>
      <c r="B71" t="s">
        <v>15</v>
      </c>
      <c r="C71" t="s">
        <v>174</v>
      </c>
      <c r="D71" t="s">
        <v>25</v>
      </c>
      <c r="E71" s="1">
        <v>46191</v>
      </c>
      <c r="F71" s="2">
        <v>0.32291666666666669</v>
      </c>
      <c r="G71">
        <v>30</v>
      </c>
      <c r="H71">
        <v>80</v>
      </c>
      <c r="I71">
        <v>9600</v>
      </c>
      <c r="J71">
        <v>29</v>
      </c>
      <c r="K71" t="s">
        <v>175</v>
      </c>
      <c r="L71" t="s">
        <v>27</v>
      </c>
      <c r="M71" t="s">
        <v>28</v>
      </c>
      <c r="N71" t="s">
        <v>21</v>
      </c>
    </row>
    <row r="72" spans="1:14" x14ac:dyDescent="0.3">
      <c r="A72" t="s">
        <v>71</v>
      </c>
      <c r="B72" t="s">
        <v>72</v>
      </c>
      <c r="C72" t="s">
        <v>176</v>
      </c>
      <c r="D72" t="s">
        <v>33</v>
      </c>
      <c r="E72" s="1">
        <v>46177</v>
      </c>
      <c r="F72" s="2">
        <v>0.4375</v>
      </c>
      <c r="G72">
        <v>0</v>
      </c>
      <c r="H72">
        <v>72</v>
      </c>
      <c r="I72">
        <v>5760</v>
      </c>
      <c r="J72">
        <v>21.66</v>
      </c>
      <c r="K72" t="s">
        <v>58</v>
      </c>
      <c r="L72" t="s">
        <v>27</v>
      </c>
      <c r="M72" t="s">
        <v>28</v>
      </c>
      <c r="N72" t="s">
        <v>29</v>
      </c>
    </row>
    <row r="73" spans="1:14" x14ac:dyDescent="0.3">
      <c r="A73" t="s">
        <v>22</v>
      </c>
      <c r="B73" t="s">
        <v>23</v>
      </c>
      <c r="C73" t="s">
        <v>177</v>
      </c>
      <c r="D73" t="s">
        <v>17</v>
      </c>
      <c r="E73" s="1">
        <v>46175</v>
      </c>
      <c r="F73" s="2">
        <v>0.73958333333333337</v>
      </c>
      <c r="G73">
        <v>0</v>
      </c>
      <c r="H73">
        <v>82</v>
      </c>
      <c r="I73">
        <v>6560</v>
      </c>
      <c r="J73">
        <v>26.38</v>
      </c>
      <c r="K73" t="s">
        <v>178</v>
      </c>
      <c r="L73" t="s">
        <v>44</v>
      </c>
      <c r="M73" t="s">
        <v>28</v>
      </c>
      <c r="N73" t="s">
        <v>45</v>
      </c>
    </row>
    <row r="74" spans="1:14" x14ac:dyDescent="0.3">
      <c r="A74" t="s">
        <v>22</v>
      </c>
      <c r="B74" t="s">
        <v>23</v>
      </c>
      <c r="C74" t="s">
        <v>179</v>
      </c>
      <c r="D74" t="s">
        <v>25</v>
      </c>
      <c r="E74" s="1">
        <v>46187</v>
      </c>
      <c r="F74" s="2">
        <v>0.85416666666666663</v>
      </c>
      <c r="G74">
        <v>30</v>
      </c>
      <c r="H74">
        <v>28</v>
      </c>
      <c r="I74">
        <v>3360</v>
      </c>
      <c r="J74">
        <v>26.41</v>
      </c>
      <c r="K74" t="s">
        <v>180</v>
      </c>
      <c r="L74" t="s">
        <v>19</v>
      </c>
      <c r="M74" t="s">
        <v>20</v>
      </c>
      <c r="N74" t="s">
        <v>21</v>
      </c>
    </row>
    <row r="75" spans="1:14" x14ac:dyDescent="0.3">
      <c r="A75" t="s">
        <v>40</v>
      </c>
      <c r="B75" t="s">
        <v>41</v>
      </c>
      <c r="C75" t="s">
        <v>181</v>
      </c>
      <c r="D75" t="s">
        <v>17</v>
      </c>
      <c r="E75" s="1">
        <v>46186</v>
      </c>
      <c r="F75" s="2">
        <v>0.89583333333333337</v>
      </c>
      <c r="G75">
        <v>0</v>
      </c>
      <c r="H75">
        <v>56</v>
      </c>
      <c r="I75">
        <v>5600</v>
      </c>
      <c r="J75">
        <v>17.04</v>
      </c>
      <c r="K75" t="s">
        <v>182</v>
      </c>
      <c r="L75" t="s">
        <v>27</v>
      </c>
      <c r="M75" t="s">
        <v>20</v>
      </c>
      <c r="N75" t="s">
        <v>29</v>
      </c>
    </row>
    <row r="76" spans="1:14" x14ac:dyDescent="0.3">
      <c r="A76" t="s">
        <v>22</v>
      </c>
      <c r="B76" t="s">
        <v>23</v>
      </c>
      <c r="C76" t="s">
        <v>183</v>
      </c>
      <c r="D76" t="s">
        <v>47</v>
      </c>
      <c r="E76" s="1">
        <v>46202</v>
      </c>
      <c r="F76" s="2">
        <v>0.46875</v>
      </c>
      <c r="G76">
        <v>0</v>
      </c>
      <c r="H76">
        <v>23</v>
      </c>
      <c r="I76">
        <v>2760</v>
      </c>
      <c r="J76">
        <v>38.14</v>
      </c>
      <c r="K76" t="s">
        <v>184</v>
      </c>
      <c r="L76" t="s">
        <v>37</v>
      </c>
      <c r="M76" t="s">
        <v>28</v>
      </c>
      <c r="N76" t="s">
        <v>29</v>
      </c>
    </row>
    <row r="77" spans="1:14" x14ac:dyDescent="0.3">
      <c r="A77" t="s">
        <v>40</v>
      </c>
      <c r="B77" t="s">
        <v>41</v>
      </c>
      <c r="C77" t="s">
        <v>185</v>
      </c>
      <c r="D77" t="s">
        <v>47</v>
      </c>
      <c r="E77" s="1">
        <v>46185</v>
      </c>
      <c r="F77" s="2">
        <v>0.72916666666666663</v>
      </c>
      <c r="G77">
        <v>0</v>
      </c>
      <c r="H77">
        <v>47</v>
      </c>
      <c r="I77">
        <v>5640</v>
      </c>
      <c r="J77">
        <v>27.79</v>
      </c>
      <c r="K77" t="s">
        <v>186</v>
      </c>
      <c r="L77" t="s">
        <v>27</v>
      </c>
      <c r="M77" t="s">
        <v>28</v>
      </c>
      <c r="N77" t="s">
        <v>45</v>
      </c>
    </row>
    <row r="78" spans="1:14" x14ac:dyDescent="0.3">
      <c r="A78" t="s">
        <v>71</v>
      </c>
      <c r="B78" t="s">
        <v>72</v>
      </c>
      <c r="C78" t="s">
        <v>187</v>
      </c>
      <c r="D78" t="s">
        <v>25</v>
      </c>
      <c r="E78" s="1">
        <v>46180</v>
      </c>
      <c r="F78" s="2">
        <v>0.66666666666666663</v>
      </c>
      <c r="G78">
        <v>0</v>
      </c>
      <c r="H78">
        <v>62</v>
      </c>
      <c r="I78">
        <v>6200</v>
      </c>
      <c r="J78">
        <v>39.75</v>
      </c>
      <c r="K78" t="s">
        <v>84</v>
      </c>
      <c r="L78" t="s">
        <v>27</v>
      </c>
      <c r="M78" t="s">
        <v>20</v>
      </c>
      <c r="N78" t="s">
        <v>45</v>
      </c>
    </row>
    <row r="79" spans="1:14" x14ac:dyDescent="0.3">
      <c r="A79" t="s">
        <v>14</v>
      </c>
      <c r="B79" t="s">
        <v>15</v>
      </c>
      <c r="C79" t="s">
        <v>121</v>
      </c>
      <c r="D79" t="s">
        <v>33</v>
      </c>
      <c r="E79" s="1">
        <v>46175</v>
      </c>
      <c r="F79" s="2">
        <v>0.6875</v>
      </c>
      <c r="G79">
        <v>32</v>
      </c>
      <c r="H79">
        <v>70</v>
      </c>
      <c r="I79">
        <v>7000</v>
      </c>
      <c r="J79">
        <v>40.590000000000003</v>
      </c>
      <c r="K79" t="s">
        <v>188</v>
      </c>
      <c r="L79" t="s">
        <v>19</v>
      </c>
      <c r="M79" t="s">
        <v>28</v>
      </c>
      <c r="N79" t="s">
        <v>21</v>
      </c>
    </row>
    <row r="80" spans="1:14" x14ac:dyDescent="0.3">
      <c r="A80" t="s">
        <v>14</v>
      </c>
      <c r="B80" t="s">
        <v>15</v>
      </c>
      <c r="C80" t="s">
        <v>189</v>
      </c>
      <c r="D80" t="s">
        <v>25</v>
      </c>
      <c r="E80" s="1">
        <v>46186</v>
      </c>
      <c r="F80" s="2">
        <v>0.89583333333333337</v>
      </c>
      <c r="G80">
        <v>60</v>
      </c>
      <c r="H80">
        <v>45</v>
      </c>
      <c r="I80">
        <v>3600</v>
      </c>
      <c r="J80">
        <v>31.34</v>
      </c>
      <c r="K80" t="s">
        <v>190</v>
      </c>
      <c r="L80" t="s">
        <v>19</v>
      </c>
      <c r="M80" t="s">
        <v>20</v>
      </c>
      <c r="N80" t="s">
        <v>21</v>
      </c>
    </row>
    <row r="81" spans="1:14" x14ac:dyDescent="0.3">
      <c r="A81" t="s">
        <v>14</v>
      </c>
      <c r="B81" t="s">
        <v>15</v>
      </c>
      <c r="C81" t="s">
        <v>191</v>
      </c>
      <c r="D81" t="s">
        <v>17</v>
      </c>
      <c r="E81" s="1">
        <v>46187</v>
      </c>
      <c r="F81" s="2">
        <v>0.83333333333333337</v>
      </c>
      <c r="G81">
        <v>0</v>
      </c>
      <c r="H81">
        <v>49</v>
      </c>
      <c r="I81">
        <v>3920</v>
      </c>
      <c r="J81">
        <v>34.89</v>
      </c>
      <c r="K81" t="s">
        <v>192</v>
      </c>
      <c r="L81" t="s">
        <v>19</v>
      </c>
      <c r="M81" t="s">
        <v>20</v>
      </c>
      <c r="N81" t="s">
        <v>45</v>
      </c>
    </row>
    <row r="82" spans="1:14" x14ac:dyDescent="0.3">
      <c r="A82" t="s">
        <v>22</v>
      </c>
      <c r="B82" t="s">
        <v>23</v>
      </c>
      <c r="C82" t="s">
        <v>193</v>
      </c>
      <c r="D82" t="s">
        <v>33</v>
      </c>
      <c r="E82" s="1">
        <v>46200</v>
      </c>
      <c r="F82" s="2">
        <v>0.39583333333333331</v>
      </c>
      <c r="G82">
        <v>52</v>
      </c>
      <c r="H82">
        <v>39</v>
      </c>
      <c r="I82">
        <v>4680</v>
      </c>
      <c r="J82">
        <v>29.43</v>
      </c>
      <c r="K82" t="s">
        <v>194</v>
      </c>
      <c r="L82" t="s">
        <v>44</v>
      </c>
      <c r="M82" t="s">
        <v>20</v>
      </c>
      <c r="N82" t="s">
        <v>21</v>
      </c>
    </row>
    <row r="83" spans="1:14" x14ac:dyDescent="0.3">
      <c r="A83" t="s">
        <v>71</v>
      </c>
      <c r="B83" t="s">
        <v>72</v>
      </c>
      <c r="C83" t="s">
        <v>195</v>
      </c>
      <c r="D83" t="s">
        <v>47</v>
      </c>
      <c r="E83" s="1">
        <v>46190</v>
      </c>
      <c r="F83" s="2">
        <v>0.86458333333333337</v>
      </c>
      <c r="G83">
        <v>52</v>
      </c>
      <c r="H83">
        <v>18</v>
      </c>
      <c r="I83">
        <v>1800</v>
      </c>
      <c r="J83">
        <v>41.46</v>
      </c>
      <c r="K83" t="s">
        <v>196</v>
      </c>
      <c r="L83" t="s">
        <v>44</v>
      </c>
      <c r="M83" t="s">
        <v>28</v>
      </c>
      <c r="N83" t="s">
        <v>21</v>
      </c>
    </row>
    <row r="84" spans="1:14" x14ac:dyDescent="0.3">
      <c r="A84" t="s">
        <v>22</v>
      </c>
      <c r="B84" t="s">
        <v>23</v>
      </c>
      <c r="C84" t="s">
        <v>197</v>
      </c>
      <c r="D84" t="s">
        <v>33</v>
      </c>
      <c r="E84" s="1">
        <v>46182</v>
      </c>
      <c r="F84" s="2">
        <v>0.76041666666666663</v>
      </c>
      <c r="G84">
        <v>0</v>
      </c>
      <c r="H84">
        <v>73</v>
      </c>
      <c r="I84">
        <v>5840</v>
      </c>
      <c r="J84">
        <v>21.86</v>
      </c>
      <c r="K84" t="s">
        <v>198</v>
      </c>
      <c r="L84" t="s">
        <v>27</v>
      </c>
      <c r="M84" t="s">
        <v>28</v>
      </c>
      <c r="N84" t="s">
        <v>45</v>
      </c>
    </row>
    <row r="85" spans="1:14" x14ac:dyDescent="0.3">
      <c r="A85" t="s">
        <v>22</v>
      </c>
      <c r="B85" t="s">
        <v>23</v>
      </c>
      <c r="C85" t="s">
        <v>199</v>
      </c>
      <c r="D85" t="s">
        <v>47</v>
      </c>
      <c r="E85" s="1">
        <v>46190</v>
      </c>
      <c r="F85" s="2">
        <v>0.30208333333333331</v>
      </c>
      <c r="G85">
        <v>0</v>
      </c>
      <c r="H85">
        <v>42</v>
      </c>
      <c r="I85">
        <v>5040</v>
      </c>
      <c r="J85">
        <v>35.5</v>
      </c>
      <c r="K85" t="s">
        <v>200</v>
      </c>
      <c r="L85" t="s">
        <v>19</v>
      </c>
      <c r="M85" t="s">
        <v>28</v>
      </c>
      <c r="N85" t="s">
        <v>29</v>
      </c>
    </row>
    <row r="86" spans="1:14" x14ac:dyDescent="0.3">
      <c r="A86" t="s">
        <v>71</v>
      </c>
      <c r="B86" t="s">
        <v>72</v>
      </c>
      <c r="C86" t="s">
        <v>201</v>
      </c>
      <c r="D86" t="s">
        <v>33</v>
      </c>
      <c r="E86" s="1">
        <v>46181</v>
      </c>
      <c r="F86" s="2">
        <v>0.40625</v>
      </c>
      <c r="G86">
        <v>39</v>
      </c>
      <c r="H86">
        <v>61</v>
      </c>
      <c r="I86">
        <v>6100</v>
      </c>
      <c r="J86">
        <v>33.43</v>
      </c>
      <c r="K86" t="s">
        <v>202</v>
      </c>
      <c r="L86" t="s">
        <v>27</v>
      </c>
      <c r="M86" t="s">
        <v>28</v>
      </c>
      <c r="N86" t="s">
        <v>21</v>
      </c>
    </row>
    <row r="87" spans="1:14" x14ac:dyDescent="0.3">
      <c r="A87" t="s">
        <v>71</v>
      </c>
      <c r="B87" t="s">
        <v>72</v>
      </c>
      <c r="C87" t="s">
        <v>203</v>
      </c>
      <c r="D87" t="s">
        <v>33</v>
      </c>
      <c r="E87" s="1">
        <v>46175</v>
      </c>
      <c r="F87" s="2">
        <v>0.8125</v>
      </c>
      <c r="G87">
        <v>22</v>
      </c>
      <c r="H87">
        <v>23</v>
      </c>
      <c r="I87">
        <v>2760</v>
      </c>
      <c r="J87">
        <v>24.21</v>
      </c>
      <c r="K87" t="s">
        <v>204</v>
      </c>
      <c r="L87" t="s">
        <v>37</v>
      </c>
      <c r="M87" t="s">
        <v>28</v>
      </c>
      <c r="N87" t="s">
        <v>21</v>
      </c>
    </row>
    <row r="88" spans="1:14" x14ac:dyDescent="0.3">
      <c r="A88" t="s">
        <v>71</v>
      </c>
      <c r="B88" t="s">
        <v>72</v>
      </c>
      <c r="C88" t="s">
        <v>205</v>
      </c>
      <c r="D88" t="s">
        <v>33</v>
      </c>
      <c r="E88" s="1">
        <v>46201</v>
      </c>
      <c r="F88" s="2">
        <v>0.86458333333333337</v>
      </c>
      <c r="G88">
        <v>0</v>
      </c>
      <c r="H88">
        <v>84</v>
      </c>
      <c r="I88">
        <v>6720</v>
      </c>
      <c r="J88">
        <v>19.53</v>
      </c>
      <c r="K88" t="s">
        <v>206</v>
      </c>
      <c r="L88" t="s">
        <v>37</v>
      </c>
      <c r="M88" t="s">
        <v>20</v>
      </c>
      <c r="N88" t="s">
        <v>29</v>
      </c>
    </row>
    <row r="89" spans="1:14" x14ac:dyDescent="0.3">
      <c r="A89" t="s">
        <v>71</v>
      </c>
      <c r="B89" t="s">
        <v>72</v>
      </c>
      <c r="C89" t="s">
        <v>207</v>
      </c>
      <c r="D89" t="s">
        <v>17</v>
      </c>
      <c r="E89" s="1">
        <v>46197</v>
      </c>
      <c r="F89" s="2">
        <v>0.36458333333333331</v>
      </c>
      <c r="G89">
        <v>0</v>
      </c>
      <c r="H89">
        <v>62</v>
      </c>
      <c r="I89">
        <v>4960</v>
      </c>
      <c r="J89">
        <v>34.72</v>
      </c>
      <c r="K89" t="s">
        <v>208</v>
      </c>
      <c r="L89" t="s">
        <v>19</v>
      </c>
      <c r="M89" t="s">
        <v>28</v>
      </c>
      <c r="N89" t="s">
        <v>45</v>
      </c>
    </row>
    <row r="90" spans="1:14" x14ac:dyDescent="0.3">
      <c r="A90" t="s">
        <v>14</v>
      </c>
      <c r="B90" t="s">
        <v>15</v>
      </c>
      <c r="C90" t="s">
        <v>209</v>
      </c>
      <c r="D90" t="s">
        <v>17</v>
      </c>
      <c r="E90" s="1">
        <v>46186</v>
      </c>
      <c r="F90" s="2">
        <v>0.88541666666666663</v>
      </c>
      <c r="G90">
        <v>32</v>
      </c>
      <c r="H90">
        <v>68</v>
      </c>
      <c r="I90">
        <v>6800</v>
      </c>
      <c r="J90">
        <v>37.29</v>
      </c>
      <c r="K90" t="s">
        <v>210</v>
      </c>
      <c r="L90" t="s">
        <v>19</v>
      </c>
      <c r="M90" t="s">
        <v>20</v>
      </c>
      <c r="N90" t="s">
        <v>21</v>
      </c>
    </row>
    <row r="91" spans="1:14" x14ac:dyDescent="0.3">
      <c r="A91" t="s">
        <v>30</v>
      </c>
      <c r="B91" t="s">
        <v>31</v>
      </c>
      <c r="C91" t="s">
        <v>211</v>
      </c>
      <c r="D91" t="s">
        <v>25</v>
      </c>
      <c r="E91" s="1">
        <v>46176</v>
      </c>
      <c r="F91" s="2">
        <v>0.38541666666666669</v>
      </c>
      <c r="G91">
        <v>0</v>
      </c>
      <c r="H91">
        <v>50</v>
      </c>
      <c r="I91">
        <v>6000</v>
      </c>
      <c r="J91">
        <v>24.81</v>
      </c>
      <c r="K91" t="s">
        <v>212</v>
      </c>
      <c r="L91" t="s">
        <v>37</v>
      </c>
      <c r="M91" t="s">
        <v>28</v>
      </c>
      <c r="N91" t="s">
        <v>45</v>
      </c>
    </row>
    <row r="92" spans="1:14" x14ac:dyDescent="0.3">
      <c r="A92" t="s">
        <v>30</v>
      </c>
      <c r="B92" t="s">
        <v>31</v>
      </c>
      <c r="C92" t="s">
        <v>213</v>
      </c>
      <c r="D92" t="s">
        <v>25</v>
      </c>
      <c r="E92" s="1">
        <v>46189</v>
      </c>
      <c r="F92" s="2">
        <v>0.29166666666666669</v>
      </c>
      <c r="G92">
        <v>0</v>
      </c>
      <c r="H92">
        <v>77</v>
      </c>
      <c r="I92">
        <v>7700</v>
      </c>
      <c r="J92">
        <v>34.520000000000003</v>
      </c>
      <c r="K92" t="s">
        <v>214</v>
      </c>
      <c r="L92" t="s">
        <v>19</v>
      </c>
      <c r="M92" t="s">
        <v>28</v>
      </c>
      <c r="N92" t="s">
        <v>45</v>
      </c>
    </row>
    <row r="93" spans="1:14" x14ac:dyDescent="0.3">
      <c r="A93" t="s">
        <v>71</v>
      </c>
      <c r="B93" t="s">
        <v>72</v>
      </c>
      <c r="C93" t="s">
        <v>215</v>
      </c>
      <c r="D93" t="s">
        <v>47</v>
      </c>
      <c r="E93" s="1">
        <v>46179</v>
      </c>
      <c r="F93" s="2">
        <v>0.78125</v>
      </c>
      <c r="G93">
        <v>30</v>
      </c>
      <c r="H93">
        <v>77</v>
      </c>
      <c r="I93">
        <v>6160</v>
      </c>
      <c r="J93">
        <v>27.16</v>
      </c>
      <c r="K93" t="s">
        <v>216</v>
      </c>
      <c r="L93" t="s">
        <v>44</v>
      </c>
      <c r="M93" t="s">
        <v>20</v>
      </c>
      <c r="N93" t="s">
        <v>21</v>
      </c>
    </row>
    <row r="94" spans="1:14" x14ac:dyDescent="0.3">
      <c r="A94" t="s">
        <v>30</v>
      </c>
      <c r="B94" t="s">
        <v>31</v>
      </c>
      <c r="C94" t="s">
        <v>217</v>
      </c>
      <c r="D94" t="s">
        <v>17</v>
      </c>
      <c r="E94" s="1">
        <v>46192</v>
      </c>
      <c r="F94" s="2">
        <v>0.6875</v>
      </c>
      <c r="G94">
        <v>0</v>
      </c>
      <c r="H94">
        <v>17</v>
      </c>
      <c r="I94">
        <v>1360</v>
      </c>
      <c r="J94">
        <v>36.54</v>
      </c>
      <c r="K94" t="s">
        <v>218</v>
      </c>
      <c r="L94" t="s">
        <v>44</v>
      </c>
      <c r="M94" t="s">
        <v>28</v>
      </c>
      <c r="N94" t="s">
        <v>29</v>
      </c>
    </row>
    <row r="95" spans="1:14" x14ac:dyDescent="0.3">
      <c r="A95" t="s">
        <v>30</v>
      </c>
      <c r="B95" t="s">
        <v>31</v>
      </c>
      <c r="C95" t="s">
        <v>219</v>
      </c>
      <c r="D95" t="s">
        <v>47</v>
      </c>
      <c r="E95" s="1">
        <v>46203</v>
      </c>
      <c r="F95" s="2">
        <v>0.71875</v>
      </c>
      <c r="G95">
        <v>0</v>
      </c>
      <c r="H95">
        <v>11</v>
      </c>
      <c r="I95">
        <v>1320</v>
      </c>
      <c r="J95">
        <v>21.38</v>
      </c>
      <c r="K95" t="s">
        <v>80</v>
      </c>
      <c r="L95" t="s">
        <v>19</v>
      </c>
      <c r="M95" t="s">
        <v>28</v>
      </c>
      <c r="N95" t="s">
        <v>45</v>
      </c>
    </row>
    <row r="96" spans="1:14" x14ac:dyDescent="0.3">
      <c r="A96" t="s">
        <v>71</v>
      </c>
      <c r="B96" t="s">
        <v>72</v>
      </c>
      <c r="C96" t="s">
        <v>220</v>
      </c>
      <c r="D96" t="s">
        <v>25</v>
      </c>
      <c r="E96" s="1">
        <v>46180</v>
      </c>
      <c r="F96" s="2">
        <v>0.5</v>
      </c>
      <c r="G96">
        <v>0</v>
      </c>
      <c r="H96">
        <v>50</v>
      </c>
      <c r="I96">
        <v>6000</v>
      </c>
      <c r="J96">
        <v>41.76</v>
      </c>
      <c r="K96" t="s">
        <v>221</v>
      </c>
      <c r="L96" t="s">
        <v>37</v>
      </c>
      <c r="M96" t="s">
        <v>20</v>
      </c>
      <c r="N96" t="s">
        <v>29</v>
      </c>
    </row>
    <row r="97" spans="1:14" x14ac:dyDescent="0.3">
      <c r="A97" t="s">
        <v>30</v>
      </c>
      <c r="B97" t="s">
        <v>31</v>
      </c>
      <c r="C97" t="s">
        <v>222</v>
      </c>
      <c r="D97" t="s">
        <v>47</v>
      </c>
      <c r="E97" s="1">
        <v>46183</v>
      </c>
      <c r="F97" s="2">
        <v>0.52083333333333337</v>
      </c>
      <c r="G97">
        <v>0</v>
      </c>
      <c r="H97">
        <v>64</v>
      </c>
      <c r="I97">
        <v>7680</v>
      </c>
      <c r="J97">
        <v>23.98</v>
      </c>
      <c r="K97" t="s">
        <v>223</v>
      </c>
      <c r="L97" t="s">
        <v>27</v>
      </c>
      <c r="M97" t="s">
        <v>28</v>
      </c>
      <c r="N97" t="s">
        <v>29</v>
      </c>
    </row>
    <row r="98" spans="1:14" x14ac:dyDescent="0.3">
      <c r="A98" t="s">
        <v>22</v>
      </c>
      <c r="B98" t="s">
        <v>23</v>
      </c>
      <c r="C98" t="s">
        <v>224</v>
      </c>
      <c r="D98" t="s">
        <v>25</v>
      </c>
      <c r="E98" s="1">
        <v>46182</v>
      </c>
      <c r="F98" s="2">
        <v>0.92708333333333337</v>
      </c>
      <c r="G98">
        <v>53</v>
      </c>
      <c r="H98">
        <v>25</v>
      </c>
      <c r="I98">
        <v>2500</v>
      </c>
      <c r="J98">
        <v>26.35</v>
      </c>
      <c r="K98" t="s">
        <v>225</v>
      </c>
      <c r="L98" t="s">
        <v>19</v>
      </c>
      <c r="M98" t="s">
        <v>28</v>
      </c>
      <c r="N98" t="s">
        <v>21</v>
      </c>
    </row>
    <row r="99" spans="1:14" x14ac:dyDescent="0.3">
      <c r="A99" t="s">
        <v>40</v>
      </c>
      <c r="B99" t="s">
        <v>41</v>
      </c>
      <c r="C99" t="s">
        <v>226</v>
      </c>
      <c r="D99" t="s">
        <v>17</v>
      </c>
      <c r="E99" s="1">
        <v>46175</v>
      </c>
      <c r="F99" s="2">
        <v>0.65625</v>
      </c>
      <c r="G99">
        <v>27</v>
      </c>
      <c r="H99">
        <v>71</v>
      </c>
      <c r="I99">
        <v>8520</v>
      </c>
      <c r="J99">
        <v>17.21</v>
      </c>
      <c r="K99" t="s">
        <v>182</v>
      </c>
      <c r="L99" t="s">
        <v>19</v>
      </c>
      <c r="M99" t="s">
        <v>28</v>
      </c>
      <c r="N99" t="s">
        <v>21</v>
      </c>
    </row>
    <row r="100" spans="1:14" x14ac:dyDescent="0.3">
      <c r="A100" t="s">
        <v>40</v>
      </c>
      <c r="B100" t="s">
        <v>41</v>
      </c>
      <c r="C100" t="s">
        <v>227</v>
      </c>
      <c r="D100" t="s">
        <v>33</v>
      </c>
      <c r="E100" s="1">
        <v>46201</v>
      </c>
      <c r="F100" s="2">
        <v>0.40625</v>
      </c>
      <c r="G100">
        <v>33</v>
      </c>
      <c r="H100">
        <v>57</v>
      </c>
      <c r="I100">
        <v>6840</v>
      </c>
      <c r="J100">
        <v>18.79</v>
      </c>
      <c r="K100" t="s">
        <v>194</v>
      </c>
      <c r="L100" t="s">
        <v>27</v>
      </c>
      <c r="M100" t="s">
        <v>20</v>
      </c>
      <c r="N100" t="s">
        <v>21</v>
      </c>
    </row>
    <row r="101" spans="1:14" x14ac:dyDescent="0.3">
      <c r="A101" t="s">
        <v>71</v>
      </c>
      <c r="B101" t="s">
        <v>72</v>
      </c>
      <c r="C101" t="s">
        <v>228</v>
      </c>
      <c r="D101" t="s">
        <v>17</v>
      </c>
      <c r="E101" s="1">
        <v>46201</v>
      </c>
      <c r="F101" s="2">
        <v>0.38541666666666669</v>
      </c>
      <c r="G101">
        <v>60</v>
      </c>
      <c r="H101">
        <v>39</v>
      </c>
      <c r="I101">
        <v>3120</v>
      </c>
      <c r="J101">
        <v>30.72</v>
      </c>
      <c r="K101" t="s">
        <v>229</v>
      </c>
      <c r="L101" t="s">
        <v>19</v>
      </c>
      <c r="M101" t="s">
        <v>20</v>
      </c>
      <c r="N101" t="s">
        <v>21</v>
      </c>
    </row>
    <row r="102" spans="1:14" x14ac:dyDescent="0.3">
      <c r="A102" t="s">
        <v>14</v>
      </c>
      <c r="B102" t="s">
        <v>15</v>
      </c>
      <c r="C102" t="s">
        <v>230</v>
      </c>
      <c r="D102" t="s">
        <v>47</v>
      </c>
      <c r="E102" s="1">
        <v>46188</v>
      </c>
      <c r="F102" s="2">
        <v>0.51041666666666663</v>
      </c>
      <c r="G102">
        <v>0</v>
      </c>
      <c r="H102">
        <v>21</v>
      </c>
      <c r="I102">
        <v>1680</v>
      </c>
      <c r="J102">
        <v>23.39</v>
      </c>
      <c r="K102" t="s">
        <v>231</v>
      </c>
      <c r="L102" t="s">
        <v>27</v>
      </c>
      <c r="M102" t="s">
        <v>28</v>
      </c>
      <c r="N102" t="s">
        <v>29</v>
      </c>
    </row>
    <row r="103" spans="1:14" x14ac:dyDescent="0.3">
      <c r="A103" t="s">
        <v>71</v>
      </c>
      <c r="B103" t="s">
        <v>72</v>
      </c>
      <c r="C103" t="s">
        <v>232</v>
      </c>
      <c r="D103" t="s">
        <v>47</v>
      </c>
      <c r="E103" s="1">
        <v>46203</v>
      </c>
      <c r="F103" s="2">
        <v>0.28125</v>
      </c>
      <c r="G103">
        <v>0</v>
      </c>
      <c r="H103">
        <v>44</v>
      </c>
      <c r="I103">
        <v>5280</v>
      </c>
      <c r="J103">
        <v>40.15</v>
      </c>
      <c r="K103" t="s">
        <v>233</v>
      </c>
      <c r="L103" t="s">
        <v>37</v>
      </c>
      <c r="M103" t="s">
        <v>28</v>
      </c>
      <c r="N103" t="s">
        <v>21</v>
      </c>
    </row>
    <row r="104" spans="1:14" x14ac:dyDescent="0.3">
      <c r="A104" t="s">
        <v>14</v>
      </c>
      <c r="B104" t="s">
        <v>15</v>
      </c>
      <c r="C104" t="s">
        <v>234</v>
      </c>
      <c r="D104" t="s">
        <v>17</v>
      </c>
      <c r="E104" s="1">
        <v>46178</v>
      </c>
      <c r="F104" s="2">
        <v>0.76041666666666663</v>
      </c>
      <c r="G104">
        <v>0</v>
      </c>
      <c r="H104">
        <v>20</v>
      </c>
      <c r="I104">
        <v>2400</v>
      </c>
      <c r="J104">
        <v>15.93</v>
      </c>
      <c r="K104" t="s">
        <v>235</v>
      </c>
      <c r="L104" t="s">
        <v>44</v>
      </c>
      <c r="M104" t="s">
        <v>28</v>
      </c>
      <c r="N104" t="s">
        <v>45</v>
      </c>
    </row>
    <row r="105" spans="1:14" x14ac:dyDescent="0.3">
      <c r="A105" t="s">
        <v>40</v>
      </c>
      <c r="B105" t="s">
        <v>41</v>
      </c>
      <c r="C105" t="s">
        <v>236</v>
      </c>
      <c r="D105" t="s">
        <v>17</v>
      </c>
      <c r="E105" s="1">
        <v>46202</v>
      </c>
      <c r="F105" s="2">
        <v>0.85416666666666663</v>
      </c>
      <c r="G105">
        <v>51</v>
      </c>
      <c r="H105">
        <v>73</v>
      </c>
      <c r="I105">
        <v>5840</v>
      </c>
      <c r="J105">
        <v>26.68</v>
      </c>
      <c r="K105" t="s">
        <v>237</v>
      </c>
      <c r="L105" t="s">
        <v>37</v>
      </c>
      <c r="M105" t="s">
        <v>28</v>
      </c>
      <c r="N105" t="s">
        <v>21</v>
      </c>
    </row>
    <row r="106" spans="1:14" x14ac:dyDescent="0.3">
      <c r="A106" t="s">
        <v>71</v>
      </c>
      <c r="B106" t="s">
        <v>72</v>
      </c>
      <c r="C106" t="s">
        <v>238</v>
      </c>
      <c r="D106" t="s">
        <v>25</v>
      </c>
      <c r="E106" s="1">
        <v>46195</v>
      </c>
      <c r="F106" s="2">
        <v>0.77083333333333337</v>
      </c>
      <c r="G106">
        <v>16</v>
      </c>
      <c r="H106">
        <v>59</v>
      </c>
      <c r="I106">
        <v>7080</v>
      </c>
      <c r="J106">
        <v>25.45</v>
      </c>
      <c r="K106" t="s">
        <v>239</v>
      </c>
      <c r="L106" t="s">
        <v>44</v>
      </c>
      <c r="M106" t="s">
        <v>28</v>
      </c>
      <c r="N106" t="s">
        <v>21</v>
      </c>
    </row>
    <row r="107" spans="1:14" x14ac:dyDescent="0.3">
      <c r="A107" t="s">
        <v>22</v>
      </c>
      <c r="B107" t="s">
        <v>23</v>
      </c>
      <c r="C107" t="s">
        <v>240</v>
      </c>
      <c r="D107" t="s">
        <v>47</v>
      </c>
      <c r="E107" s="1">
        <v>46177</v>
      </c>
      <c r="F107" s="2">
        <v>0.59375</v>
      </c>
      <c r="G107">
        <v>59</v>
      </c>
      <c r="H107">
        <v>30</v>
      </c>
      <c r="I107">
        <v>3000</v>
      </c>
      <c r="J107">
        <v>16.07</v>
      </c>
      <c r="K107" t="s">
        <v>241</v>
      </c>
      <c r="L107" t="s">
        <v>27</v>
      </c>
      <c r="M107" t="s">
        <v>28</v>
      </c>
      <c r="N107" t="s">
        <v>21</v>
      </c>
    </row>
    <row r="108" spans="1:14" x14ac:dyDescent="0.3">
      <c r="A108" t="s">
        <v>30</v>
      </c>
      <c r="B108" t="s">
        <v>31</v>
      </c>
      <c r="C108" t="s">
        <v>242</v>
      </c>
      <c r="D108" t="s">
        <v>47</v>
      </c>
      <c r="E108" s="1">
        <v>46193</v>
      </c>
      <c r="F108" s="2">
        <v>0.60416666666666663</v>
      </c>
      <c r="G108">
        <v>0</v>
      </c>
      <c r="H108">
        <v>78</v>
      </c>
      <c r="I108">
        <v>7800</v>
      </c>
      <c r="J108">
        <v>19.170000000000002</v>
      </c>
      <c r="K108" t="s">
        <v>243</v>
      </c>
      <c r="L108" t="s">
        <v>44</v>
      </c>
      <c r="M108" t="s">
        <v>20</v>
      </c>
      <c r="N108" t="s">
        <v>29</v>
      </c>
    </row>
    <row r="109" spans="1:14" x14ac:dyDescent="0.3">
      <c r="A109" t="s">
        <v>14</v>
      </c>
      <c r="B109" t="s">
        <v>15</v>
      </c>
      <c r="C109" t="s">
        <v>244</v>
      </c>
      <c r="D109" t="s">
        <v>17</v>
      </c>
      <c r="E109" s="1">
        <v>46177</v>
      </c>
      <c r="F109" s="2">
        <v>0.65625</v>
      </c>
      <c r="G109">
        <v>29</v>
      </c>
      <c r="H109">
        <v>57</v>
      </c>
      <c r="I109">
        <v>5700</v>
      </c>
      <c r="J109">
        <v>27.7</v>
      </c>
      <c r="K109" t="s">
        <v>245</v>
      </c>
      <c r="L109" t="s">
        <v>37</v>
      </c>
      <c r="M109" t="s">
        <v>28</v>
      </c>
      <c r="N109" t="s">
        <v>21</v>
      </c>
    </row>
    <row r="110" spans="1:14" x14ac:dyDescent="0.3">
      <c r="A110" t="s">
        <v>30</v>
      </c>
      <c r="B110" t="s">
        <v>31</v>
      </c>
      <c r="C110" t="s">
        <v>246</v>
      </c>
      <c r="D110" t="s">
        <v>33</v>
      </c>
      <c r="E110" s="1">
        <v>46191</v>
      </c>
      <c r="F110" s="2">
        <v>0.65625</v>
      </c>
      <c r="G110">
        <v>36</v>
      </c>
      <c r="H110">
        <v>29</v>
      </c>
      <c r="I110">
        <v>3480</v>
      </c>
      <c r="J110">
        <v>30.04</v>
      </c>
      <c r="K110" t="s">
        <v>247</v>
      </c>
      <c r="L110" t="s">
        <v>44</v>
      </c>
      <c r="M110" t="s">
        <v>28</v>
      </c>
      <c r="N110" t="s">
        <v>21</v>
      </c>
    </row>
    <row r="111" spans="1:14" x14ac:dyDescent="0.3">
      <c r="A111" t="s">
        <v>30</v>
      </c>
      <c r="B111" t="s">
        <v>31</v>
      </c>
      <c r="C111" t="s">
        <v>248</v>
      </c>
      <c r="D111" t="s">
        <v>47</v>
      </c>
      <c r="E111" s="1">
        <v>46177</v>
      </c>
      <c r="F111" s="2">
        <v>0.875</v>
      </c>
      <c r="G111">
        <v>15</v>
      </c>
      <c r="H111">
        <v>76</v>
      </c>
      <c r="I111">
        <v>6080</v>
      </c>
      <c r="J111">
        <v>27.43</v>
      </c>
      <c r="K111" t="s">
        <v>249</v>
      </c>
      <c r="L111" t="s">
        <v>27</v>
      </c>
      <c r="M111" t="s">
        <v>28</v>
      </c>
      <c r="N111" t="s">
        <v>21</v>
      </c>
    </row>
    <row r="112" spans="1:14" x14ac:dyDescent="0.3">
      <c r="A112" t="s">
        <v>71</v>
      </c>
      <c r="B112" t="s">
        <v>72</v>
      </c>
      <c r="C112" t="s">
        <v>250</v>
      </c>
      <c r="D112" t="s">
        <v>33</v>
      </c>
      <c r="E112" s="1">
        <v>46200</v>
      </c>
      <c r="F112" s="2">
        <v>0.44791666666666669</v>
      </c>
      <c r="G112">
        <v>0</v>
      </c>
      <c r="H112">
        <v>53</v>
      </c>
      <c r="I112">
        <v>6360</v>
      </c>
      <c r="J112">
        <v>31.16</v>
      </c>
      <c r="K112" t="s">
        <v>251</v>
      </c>
      <c r="L112" t="s">
        <v>44</v>
      </c>
      <c r="M112" t="s">
        <v>20</v>
      </c>
      <c r="N112" t="s">
        <v>29</v>
      </c>
    </row>
    <row r="113" spans="1:14" x14ac:dyDescent="0.3">
      <c r="A113" t="s">
        <v>30</v>
      </c>
      <c r="B113" t="s">
        <v>31</v>
      </c>
      <c r="C113" t="s">
        <v>252</v>
      </c>
      <c r="D113" t="s">
        <v>17</v>
      </c>
      <c r="E113" s="1">
        <v>46190</v>
      </c>
      <c r="F113" s="2">
        <v>0.40625</v>
      </c>
      <c r="G113">
        <v>18</v>
      </c>
      <c r="H113">
        <v>42</v>
      </c>
      <c r="I113">
        <v>5040</v>
      </c>
      <c r="J113">
        <v>33.06</v>
      </c>
      <c r="K113" t="s">
        <v>253</v>
      </c>
      <c r="L113" t="s">
        <v>19</v>
      </c>
      <c r="M113" t="s">
        <v>28</v>
      </c>
      <c r="N113" t="s">
        <v>21</v>
      </c>
    </row>
    <row r="114" spans="1:14" x14ac:dyDescent="0.3">
      <c r="A114" t="s">
        <v>22</v>
      </c>
      <c r="B114" t="s">
        <v>23</v>
      </c>
      <c r="C114" t="s">
        <v>254</v>
      </c>
      <c r="D114" t="s">
        <v>17</v>
      </c>
      <c r="E114" s="1">
        <v>46185</v>
      </c>
      <c r="F114" s="2">
        <v>0.51041666666666663</v>
      </c>
      <c r="G114">
        <v>0</v>
      </c>
      <c r="H114">
        <v>82</v>
      </c>
      <c r="I114">
        <v>6560</v>
      </c>
      <c r="J114">
        <v>15.79</v>
      </c>
      <c r="K114" t="s">
        <v>255</v>
      </c>
      <c r="L114" t="s">
        <v>37</v>
      </c>
      <c r="M114" t="s">
        <v>28</v>
      </c>
      <c r="N114" t="s">
        <v>45</v>
      </c>
    </row>
    <row r="115" spans="1:14" x14ac:dyDescent="0.3">
      <c r="A115" t="s">
        <v>30</v>
      </c>
      <c r="B115" t="s">
        <v>31</v>
      </c>
      <c r="C115" t="s">
        <v>256</v>
      </c>
      <c r="D115" t="s">
        <v>25</v>
      </c>
      <c r="E115" s="1">
        <v>46195</v>
      </c>
      <c r="F115" s="2">
        <v>0.38541666666666669</v>
      </c>
      <c r="G115">
        <v>0</v>
      </c>
      <c r="H115">
        <v>70</v>
      </c>
      <c r="I115">
        <v>5600</v>
      </c>
      <c r="J115">
        <v>29.19</v>
      </c>
      <c r="K115" t="s">
        <v>257</v>
      </c>
      <c r="L115" t="s">
        <v>19</v>
      </c>
      <c r="M115" t="s">
        <v>28</v>
      </c>
      <c r="N115" t="s">
        <v>29</v>
      </c>
    </row>
    <row r="116" spans="1:14" x14ac:dyDescent="0.3">
      <c r="A116" t="s">
        <v>71</v>
      </c>
      <c r="B116" t="s">
        <v>72</v>
      </c>
      <c r="C116" t="s">
        <v>258</v>
      </c>
      <c r="D116" t="s">
        <v>47</v>
      </c>
      <c r="E116" s="1">
        <v>46190</v>
      </c>
      <c r="F116" s="2">
        <v>0.27083333333333331</v>
      </c>
      <c r="G116">
        <v>0</v>
      </c>
      <c r="H116">
        <v>18</v>
      </c>
      <c r="I116">
        <v>1440</v>
      </c>
      <c r="J116">
        <v>43.92</v>
      </c>
      <c r="K116" t="s">
        <v>259</v>
      </c>
      <c r="L116" t="s">
        <v>27</v>
      </c>
      <c r="M116" t="s">
        <v>28</v>
      </c>
      <c r="N116" t="s">
        <v>29</v>
      </c>
    </row>
    <row r="117" spans="1:14" x14ac:dyDescent="0.3">
      <c r="A117" t="s">
        <v>22</v>
      </c>
      <c r="B117" t="s">
        <v>23</v>
      </c>
      <c r="C117" t="s">
        <v>260</v>
      </c>
      <c r="D117" t="s">
        <v>33</v>
      </c>
      <c r="E117" s="1">
        <v>46183</v>
      </c>
      <c r="F117" s="2">
        <v>0.4375</v>
      </c>
      <c r="G117">
        <v>0</v>
      </c>
      <c r="H117">
        <v>77</v>
      </c>
      <c r="I117">
        <v>7700</v>
      </c>
      <c r="J117">
        <v>30.81</v>
      </c>
      <c r="K117" t="s">
        <v>261</v>
      </c>
      <c r="L117" t="s">
        <v>44</v>
      </c>
      <c r="M117" t="s">
        <v>28</v>
      </c>
      <c r="N117" t="s">
        <v>45</v>
      </c>
    </row>
    <row r="118" spans="1:14" x14ac:dyDescent="0.3">
      <c r="A118" t="s">
        <v>40</v>
      </c>
      <c r="B118" t="s">
        <v>41</v>
      </c>
      <c r="C118" t="s">
        <v>262</v>
      </c>
      <c r="D118" t="s">
        <v>25</v>
      </c>
      <c r="E118" s="1">
        <v>46195</v>
      </c>
      <c r="F118" s="2">
        <v>0.9375</v>
      </c>
      <c r="G118">
        <v>35</v>
      </c>
      <c r="H118">
        <v>44</v>
      </c>
      <c r="I118">
        <v>5280</v>
      </c>
      <c r="J118">
        <v>35.49</v>
      </c>
      <c r="K118" t="s">
        <v>263</v>
      </c>
      <c r="L118" t="s">
        <v>19</v>
      </c>
      <c r="M118" t="s">
        <v>28</v>
      </c>
      <c r="N118" t="s">
        <v>21</v>
      </c>
    </row>
    <row r="119" spans="1:14" x14ac:dyDescent="0.3">
      <c r="A119" t="s">
        <v>30</v>
      </c>
      <c r="B119" t="s">
        <v>31</v>
      </c>
      <c r="C119" t="s">
        <v>264</v>
      </c>
      <c r="D119" t="s">
        <v>47</v>
      </c>
      <c r="E119" s="1">
        <v>46174</v>
      </c>
      <c r="F119" s="2">
        <v>0.71875</v>
      </c>
      <c r="G119">
        <v>49</v>
      </c>
      <c r="H119">
        <v>74</v>
      </c>
      <c r="I119">
        <v>5920</v>
      </c>
      <c r="J119">
        <v>24.7</v>
      </c>
      <c r="K119" t="s">
        <v>265</v>
      </c>
      <c r="L119" t="s">
        <v>19</v>
      </c>
      <c r="M119" t="s">
        <v>28</v>
      </c>
      <c r="N119" t="s">
        <v>21</v>
      </c>
    </row>
    <row r="120" spans="1:14" x14ac:dyDescent="0.3">
      <c r="A120" t="s">
        <v>71</v>
      </c>
      <c r="B120" t="s">
        <v>72</v>
      </c>
      <c r="C120" t="s">
        <v>266</v>
      </c>
      <c r="D120" t="s">
        <v>25</v>
      </c>
      <c r="E120" s="1">
        <v>46195</v>
      </c>
      <c r="F120" s="2">
        <v>0.27083333333333331</v>
      </c>
      <c r="G120">
        <v>57</v>
      </c>
      <c r="H120">
        <v>17</v>
      </c>
      <c r="I120">
        <v>2040</v>
      </c>
      <c r="J120">
        <v>38.33</v>
      </c>
      <c r="K120" t="s">
        <v>267</v>
      </c>
      <c r="L120" t="s">
        <v>44</v>
      </c>
      <c r="M120" t="s">
        <v>28</v>
      </c>
      <c r="N120" t="s">
        <v>21</v>
      </c>
    </row>
    <row r="121" spans="1:14" x14ac:dyDescent="0.3">
      <c r="A121" t="s">
        <v>40</v>
      </c>
      <c r="B121" t="s">
        <v>41</v>
      </c>
      <c r="C121" t="s">
        <v>268</v>
      </c>
      <c r="D121" t="s">
        <v>17</v>
      </c>
      <c r="E121" s="1">
        <v>46199</v>
      </c>
      <c r="F121" s="2">
        <v>0.92708333333333337</v>
      </c>
      <c r="G121">
        <v>0</v>
      </c>
      <c r="H121">
        <v>54</v>
      </c>
      <c r="I121">
        <v>5400</v>
      </c>
      <c r="J121">
        <v>38.299999999999997</v>
      </c>
      <c r="K121" t="s">
        <v>269</v>
      </c>
      <c r="L121" t="s">
        <v>44</v>
      </c>
      <c r="M121" t="s">
        <v>28</v>
      </c>
      <c r="N121" t="s">
        <v>45</v>
      </c>
    </row>
    <row r="122" spans="1:14" x14ac:dyDescent="0.3">
      <c r="A122" t="s">
        <v>40</v>
      </c>
      <c r="B122" t="s">
        <v>41</v>
      </c>
      <c r="C122" t="s">
        <v>270</v>
      </c>
      <c r="D122" t="s">
        <v>47</v>
      </c>
      <c r="E122" s="1">
        <v>46197</v>
      </c>
      <c r="F122" s="2">
        <v>0.875</v>
      </c>
      <c r="G122">
        <v>0</v>
      </c>
      <c r="H122">
        <v>56</v>
      </c>
      <c r="I122">
        <v>5600</v>
      </c>
      <c r="J122">
        <v>30.88</v>
      </c>
      <c r="K122" t="s">
        <v>271</v>
      </c>
      <c r="L122" t="s">
        <v>37</v>
      </c>
      <c r="M122" t="s">
        <v>28</v>
      </c>
      <c r="N122" t="s">
        <v>45</v>
      </c>
    </row>
    <row r="123" spans="1:14" x14ac:dyDescent="0.3">
      <c r="A123" t="s">
        <v>14</v>
      </c>
      <c r="B123" t="s">
        <v>15</v>
      </c>
      <c r="C123" t="s">
        <v>272</v>
      </c>
      <c r="D123" t="s">
        <v>25</v>
      </c>
      <c r="E123" s="1">
        <v>46200</v>
      </c>
      <c r="F123" s="2">
        <v>0.85416666666666663</v>
      </c>
      <c r="G123">
        <v>0</v>
      </c>
      <c r="H123">
        <v>49</v>
      </c>
      <c r="I123">
        <v>3920</v>
      </c>
      <c r="J123">
        <v>44.29</v>
      </c>
      <c r="K123" t="s">
        <v>273</v>
      </c>
      <c r="L123" t="s">
        <v>19</v>
      </c>
      <c r="M123" t="s">
        <v>20</v>
      </c>
      <c r="N123" t="s">
        <v>45</v>
      </c>
    </row>
    <row r="124" spans="1:14" x14ac:dyDescent="0.3">
      <c r="A124" t="s">
        <v>22</v>
      </c>
      <c r="B124" t="s">
        <v>23</v>
      </c>
      <c r="C124" t="s">
        <v>274</v>
      </c>
      <c r="D124" t="s">
        <v>25</v>
      </c>
      <c r="E124" s="1">
        <v>46191</v>
      </c>
      <c r="F124" s="2">
        <v>0.53125</v>
      </c>
      <c r="G124">
        <v>0</v>
      </c>
      <c r="H124">
        <v>63</v>
      </c>
      <c r="I124">
        <v>5040</v>
      </c>
      <c r="J124">
        <v>19.2</v>
      </c>
      <c r="K124" t="s">
        <v>275</v>
      </c>
      <c r="L124" t="s">
        <v>19</v>
      </c>
      <c r="M124" t="s">
        <v>28</v>
      </c>
      <c r="N124" t="s">
        <v>29</v>
      </c>
    </row>
    <row r="125" spans="1:14" x14ac:dyDescent="0.3">
      <c r="A125" t="s">
        <v>30</v>
      </c>
      <c r="B125" t="s">
        <v>31</v>
      </c>
      <c r="C125" t="s">
        <v>276</v>
      </c>
      <c r="D125" t="s">
        <v>33</v>
      </c>
      <c r="E125" s="1">
        <v>46191</v>
      </c>
      <c r="F125" s="2">
        <v>0.67708333333333337</v>
      </c>
      <c r="G125">
        <v>0</v>
      </c>
      <c r="H125">
        <v>55</v>
      </c>
      <c r="I125">
        <v>6600</v>
      </c>
      <c r="J125">
        <v>16</v>
      </c>
      <c r="K125" t="s">
        <v>277</v>
      </c>
      <c r="L125" t="s">
        <v>27</v>
      </c>
      <c r="M125" t="s">
        <v>28</v>
      </c>
      <c r="N125" t="s">
        <v>29</v>
      </c>
    </row>
    <row r="126" spans="1:14" x14ac:dyDescent="0.3">
      <c r="A126" t="s">
        <v>71</v>
      </c>
      <c r="B126" t="s">
        <v>72</v>
      </c>
      <c r="C126" t="s">
        <v>278</v>
      </c>
      <c r="D126" t="s">
        <v>25</v>
      </c>
      <c r="E126" s="1">
        <v>46187</v>
      </c>
      <c r="F126" s="2">
        <v>0.59375</v>
      </c>
      <c r="G126">
        <v>46</v>
      </c>
      <c r="H126">
        <v>56</v>
      </c>
      <c r="I126">
        <v>4480</v>
      </c>
      <c r="J126">
        <v>38.22</v>
      </c>
      <c r="K126" t="s">
        <v>279</v>
      </c>
      <c r="L126" t="s">
        <v>37</v>
      </c>
      <c r="M126" t="s">
        <v>20</v>
      </c>
      <c r="N126" t="s">
        <v>21</v>
      </c>
    </row>
    <row r="127" spans="1:14" x14ac:dyDescent="0.3">
      <c r="A127" t="s">
        <v>14</v>
      </c>
      <c r="B127" t="s">
        <v>15</v>
      </c>
      <c r="C127" t="s">
        <v>280</v>
      </c>
      <c r="D127" t="s">
        <v>47</v>
      </c>
      <c r="E127" s="1">
        <v>46188</v>
      </c>
      <c r="F127" s="2">
        <v>0.75</v>
      </c>
      <c r="G127">
        <v>63</v>
      </c>
      <c r="H127">
        <v>24</v>
      </c>
      <c r="I127">
        <v>2880</v>
      </c>
      <c r="J127">
        <v>39.31</v>
      </c>
      <c r="K127" t="s">
        <v>281</v>
      </c>
      <c r="L127" t="s">
        <v>27</v>
      </c>
      <c r="M127" t="s">
        <v>28</v>
      </c>
      <c r="N127" t="s">
        <v>21</v>
      </c>
    </row>
    <row r="128" spans="1:14" x14ac:dyDescent="0.3">
      <c r="A128" t="s">
        <v>22</v>
      </c>
      <c r="B128" t="s">
        <v>23</v>
      </c>
      <c r="C128" t="s">
        <v>282</v>
      </c>
      <c r="D128" t="s">
        <v>47</v>
      </c>
      <c r="E128" s="1">
        <v>46202</v>
      </c>
      <c r="F128" s="2">
        <v>0.32291666666666669</v>
      </c>
      <c r="G128">
        <v>62</v>
      </c>
      <c r="H128">
        <v>28</v>
      </c>
      <c r="I128">
        <v>2240</v>
      </c>
      <c r="J128">
        <v>19.05</v>
      </c>
      <c r="K128" t="s">
        <v>283</v>
      </c>
      <c r="L128" t="s">
        <v>19</v>
      </c>
      <c r="M128" t="s">
        <v>28</v>
      </c>
      <c r="N128" t="s">
        <v>21</v>
      </c>
    </row>
    <row r="129" spans="1:14" x14ac:dyDescent="0.3">
      <c r="A129" t="s">
        <v>14</v>
      </c>
      <c r="B129" t="s">
        <v>15</v>
      </c>
      <c r="C129" t="s">
        <v>284</v>
      </c>
      <c r="D129" t="s">
        <v>33</v>
      </c>
      <c r="E129" s="1">
        <v>46185</v>
      </c>
      <c r="F129" s="2">
        <v>0.35416666666666669</v>
      </c>
      <c r="G129">
        <v>0</v>
      </c>
      <c r="H129">
        <v>35</v>
      </c>
      <c r="I129">
        <v>4200</v>
      </c>
      <c r="J129">
        <v>23.33</v>
      </c>
      <c r="K129" t="s">
        <v>285</v>
      </c>
      <c r="L129" t="s">
        <v>27</v>
      </c>
      <c r="M129" t="s">
        <v>28</v>
      </c>
      <c r="N129" t="s">
        <v>29</v>
      </c>
    </row>
    <row r="130" spans="1:14" x14ac:dyDescent="0.3">
      <c r="A130" t="s">
        <v>22</v>
      </c>
      <c r="B130" t="s">
        <v>23</v>
      </c>
      <c r="C130" t="s">
        <v>95</v>
      </c>
      <c r="D130" t="s">
        <v>47</v>
      </c>
      <c r="E130" s="1">
        <v>46177</v>
      </c>
      <c r="F130" s="2">
        <v>0.34375</v>
      </c>
      <c r="G130">
        <v>0</v>
      </c>
      <c r="H130">
        <v>61</v>
      </c>
      <c r="I130">
        <v>7320</v>
      </c>
      <c r="J130">
        <v>16.02</v>
      </c>
      <c r="K130" t="s">
        <v>36</v>
      </c>
      <c r="L130" t="s">
        <v>19</v>
      </c>
      <c r="M130" t="s">
        <v>28</v>
      </c>
      <c r="N130" t="s">
        <v>29</v>
      </c>
    </row>
    <row r="131" spans="1:14" x14ac:dyDescent="0.3">
      <c r="A131" t="s">
        <v>22</v>
      </c>
      <c r="B131" t="s">
        <v>23</v>
      </c>
      <c r="C131" t="s">
        <v>286</v>
      </c>
      <c r="D131" t="s">
        <v>17</v>
      </c>
      <c r="E131" s="1">
        <v>46200</v>
      </c>
      <c r="F131" s="2">
        <v>0.5</v>
      </c>
      <c r="G131">
        <v>0</v>
      </c>
      <c r="H131">
        <v>31</v>
      </c>
      <c r="I131">
        <v>3720</v>
      </c>
      <c r="J131">
        <v>24.15</v>
      </c>
      <c r="K131" t="s">
        <v>287</v>
      </c>
      <c r="L131" t="s">
        <v>19</v>
      </c>
      <c r="M131" t="s">
        <v>20</v>
      </c>
      <c r="N131" t="s">
        <v>45</v>
      </c>
    </row>
    <row r="132" spans="1:14" x14ac:dyDescent="0.3">
      <c r="A132" t="s">
        <v>30</v>
      </c>
      <c r="B132" t="s">
        <v>31</v>
      </c>
      <c r="C132" t="s">
        <v>288</v>
      </c>
      <c r="D132" t="s">
        <v>47</v>
      </c>
      <c r="E132" s="1">
        <v>46176</v>
      </c>
      <c r="F132" s="2">
        <v>0.9375</v>
      </c>
      <c r="G132">
        <v>0</v>
      </c>
      <c r="H132">
        <v>30</v>
      </c>
      <c r="I132">
        <v>3600</v>
      </c>
      <c r="J132">
        <v>38.31</v>
      </c>
      <c r="K132" t="s">
        <v>289</v>
      </c>
      <c r="L132" t="s">
        <v>27</v>
      </c>
      <c r="M132" t="s">
        <v>28</v>
      </c>
      <c r="N132" t="s">
        <v>29</v>
      </c>
    </row>
    <row r="133" spans="1:14" x14ac:dyDescent="0.3">
      <c r="A133" t="s">
        <v>22</v>
      </c>
      <c r="B133" t="s">
        <v>23</v>
      </c>
      <c r="C133" t="s">
        <v>290</v>
      </c>
      <c r="D133" t="s">
        <v>47</v>
      </c>
      <c r="E133" s="1">
        <v>46193</v>
      </c>
      <c r="F133" s="2">
        <v>0.53125</v>
      </c>
      <c r="G133">
        <v>0</v>
      </c>
      <c r="H133">
        <v>60</v>
      </c>
      <c r="I133">
        <v>6000</v>
      </c>
      <c r="J133">
        <v>30.78</v>
      </c>
      <c r="K133" t="s">
        <v>62</v>
      </c>
      <c r="L133" t="s">
        <v>27</v>
      </c>
      <c r="M133" t="s">
        <v>20</v>
      </c>
      <c r="N133" t="s">
        <v>45</v>
      </c>
    </row>
    <row r="134" spans="1:14" x14ac:dyDescent="0.3">
      <c r="A134" t="s">
        <v>14</v>
      </c>
      <c r="B134" t="s">
        <v>15</v>
      </c>
      <c r="C134" t="s">
        <v>291</v>
      </c>
      <c r="D134" t="s">
        <v>25</v>
      </c>
      <c r="E134" s="1">
        <v>46202</v>
      </c>
      <c r="F134" s="2">
        <v>0.8125</v>
      </c>
      <c r="G134">
        <v>0</v>
      </c>
      <c r="H134">
        <v>47</v>
      </c>
      <c r="I134">
        <v>5640</v>
      </c>
      <c r="J134">
        <v>25.77</v>
      </c>
      <c r="K134" t="s">
        <v>292</v>
      </c>
      <c r="L134" t="s">
        <v>44</v>
      </c>
      <c r="M134" t="s">
        <v>28</v>
      </c>
      <c r="N134" t="s">
        <v>29</v>
      </c>
    </row>
    <row r="135" spans="1:14" x14ac:dyDescent="0.3">
      <c r="A135" t="s">
        <v>22</v>
      </c>
      <c r="B135" t="s">
        <v>23</v>
      </c>
      <c r="C135" t="s">
        <v>109</v>
      </c>
      <c r="D135" t="s">
        <v>25</v>
      </c>
      <c r="E135" s="1">
        <v>46185</v>
      </c>
      <c r="F135" s="2">
        <v>0.38541666666666669</v>
      </c>
      <c r="G135">
        <v>0</v>
      </c>
      <c r="H135">
        <v>29</v>
      </c>
      <c r="I135">
        <v>2320</v>
      </c>
      <c r="J135">
        <v>26.47</v>
      </c>
      <c r="K135" t="s">
        <v>293</v>
      </c>
      <c r="L135" t="s">
        <v>44</v>
      </c>
      <c r="M135" t="s">
        <v>28</v>
      </c>
      <c r="N135" t="s">
        <v>29</v>
      </c>
    </row>
    <row r="136" spans="1:14" x14ac:dyDescent="0.3">
      <c r="A136" t="s">
        <v>30</v>
      </c>
      <c r="B136" t="s">
        <v>31</v>
      </c>
      <c r="C136" t="s">
        <v>294</v>
      </c>
      <c r="D136" t="s">
        <v>47</v>
      </c>
      <c r="E136" s="1">
        <v>46180</v>
      </c>
      <c r="F136" s="2">
        <v>0.46875</v>
      </c>
      <c r="G136">
        <v>0</v>
      </c>
      <c r="H136">
        <v>38</v>
      </c>
      <c r="I136">
        <v>3800</v>
      </c>
      <c r="J136">
        <v>15.54</v>
      </c>
      <c r="K136" t="s">
        <v>295</v>
      </c>
      <c r="L136" t="s">
        <v>44</v>
      </c>
      <c r="M136" t="s">
        <v>20</v>
      </c>
      <c r="N136" t="s">
        <v>29</v>
      </c>
    </row>
    <row r="137" spans="1:14" x14ac:dyDescent="0.3">
      <c r="A137" t="s">
        <v>30</v>
      </c>
      <c r="B137" t="s">
        <v>31</v>
      </c>
      <c r="C137" t="s">
        <v>296</v>
      </c>
      <c r="D137" t="s">
        <v>33</v>
      </c>
      <c r="E137" s="1">
        <v>46202</v>
      </c>
      <c r="F137" s="2">
        <v>0.5</v>
      </c>
      <c r="G137">
        <v>0</v>
      </c>
      <c r="H137">
        <v>60</v>
      </c>
      <c r="I137">
        <v>6000</v>
      </c>
      <c r="J137">
        <v>24.34</v>
      </c>
      <c r="K137" t="s">
        <v>297</v>
      </c>
      <c r="L137" t="s">
        <v>19</v>
      </c>
      <c r="M137" t="s">
        <v>28</v>
      </c>
      <c r="N137" t="s">
        <v>45</v>
      </c>
    </row>
    <row r="138" spans="1:14" x14ac:dyDescent="0.3">
      <c r="A138" t="s">
        <v>14</v>
      </c>
      <c r="B138" t="s">
        <v>15</v>
      </c>
      <c r="C138" t="s">
        <v>298</v>
      </c>
      <c r="D138" t="s">
        <v>25</v>
      </c>
      <c r="E138" s="1">
        <v>46184</v>
      </c>
      <c r="F138" s="2">
        <v>0.82291666666666663</v>
      </c>
      <c r="G138">
        <v>0</v>
      </c>
      <c r="H138">
        <v>13</v>
      </c>
      <c r="I138">
        <v>1560</v>
      </c>
      <c r="J138">
        <v>34.57</v>
      </c>
      <c r="K138" t="s">
        <v>299</v>
      </c>
      <c r="L138" t="s">
        <v>27</v>
      </c>
      <c r="M138" t="s">
        <v>28</v>
      </c>
      <c r="N138" t="s">
        <v>29</v>
      </c>
    </row>
    <row r="139" spans="1:14" x14ac:dyDescent="0.3">
      <c r="A139" t="s">
        <v>40</v>
      </c>
      <c r="B139" t="s">
        <v>41</v>
      </c>
      <c r="C139" t="s">
        <v>300</v>
      </c>
      <c r="D139" t="s">
        <v>33</v>
      </c>
      <c r="E139" s="1">
        <v>46174</v>
      </c>
      <c r="F139" s="2">
        <v>0.54166666666666663</v>
      </c>
      <c r="G139">
        <v>47</v>
      </c>
      <c r="H139">
        <v>64</v>
      </c>
      <c r="I139">
        <v>6400</v>
      </c>
      <c r="J139">
        <v>44.24</v>
      </c>
      <c r="K139" t="s">
        <v>301</v>
      </c>
      <c r="L139" t="s">
        <v>37</v>
      </c>
      <c r="M139" t="s">
        <v>28</v>
      </c>
      <c r="N139" t="s">
        <v>21</v>
      </c>
    </row>
    <row r="140" spans="1:14" x14ac:dyDescent="0.3">
      <c r="A140" t="s">
        <v>40</v>
      </c>
      <c r="B140" t="s">
        <v>41</v>
      </c>
      <c r="C140" t="s">
        <v>302</v>
      </c>
      <c r="D140" t="s">
        <v>47</v>
      </c>
      <c r="E140" s="1">
        <v>46179</v>
      </c>
      <c r="F140" s="2">
        <v>0.28125</v>
      </c>
      <c r="G140">
        <v>15</v>
      </c>
      <c r="H140">
        <v>80</v>
      </c>
      <c r="I140">
        <v>9600</v>
      </c>
      <c r="J140">
        <v>40.49</v>
      </c>
      <c r="K140" t="s">
        <v>303</v>
      </c>
      <c r="L140" t="s">
        <v>19</v>
      </c>
      <c r="M140" t="s">
        <v>20</v>
      </c>
      <c r="N140" t="s">
        <v>21</v>
      </c>
    </row>
    <row r="141" spans="1:14" x14ac:dyDescent="0.3">
      <c r="A141" t="s">
        <v>22</v>
      </c>
      <c r="B141" t="s">
        <v>23</v>
      </c>
      <c r="C141" t="s">
        <v>304</v>
      </c>
      <c r="D141" t="s">
        <v>47</v>
      </c>
      <c r="E141" s="1">
        <v>46188</v>
      </c>
      <c r="F141" s="2">
        <v>0.33333333333333331</v>
      </c>
      <c r="G141">
        <v>0</v>
      </c>
      <c r="H141">
        <v>37</v>
      </c>
      <c r="I141">
        <v>2960</v>
      </c>
      <c r="J141">
        <v>16.2</v>
      </c>
      <c r="K141" t="s">
        <v>305</v>
      </c>
      <c r="L141" t="s">
        <v>37</v>
      </c>
      <c r="M141" t="s">
        <v>28</v>
      </c>
      <c r="N141" t="s">
        <v>45</v>
      </c>
    </row>
    <row r="142" spans="1:14" x14ac:dyDescent="0.3">
      <c r="A142" t="s">
        <v>71</v>
      </c>
      <c r="B142" t="s">
        <v>72</v>
      </c>
      <c r="C142" t="s">
        <v>306</v>
      </c>
      <c r="D142" t="s">
        <v>17</v>
      </c>
      <c r="E142" s="1">
        <v>46188</v>
      </c>
      <c r="F142" s="2">
        <v>0.54166666666666663</v>
      </c>
      <c r="G142">
        <v>0</v>
      </c>
      <c r="H142">
        <v>13</v>
      </c>
      <c r="I142">
        <v>1560</v>
      </c>
      <c r="J142">
        <v>42.01</v>
      </c>
      <c r="K142" t="s">
        <v>104</v>
      </c>
      <c r="L142" t="s">
        <v>27</v>
      </c>
      <c r="M142" t="s">
        <v>28</v>
      </c>
      <c r="N142" t="s">
        <v>29</v>
      </c>
    </row>
    <row r="143" spans="1:14" x14ac:dyDescent="0.3">
      <c r="A143" t="s">
        <v>22</v>
      </c>
      <c r="B143" t="s">
        <v>23</v>
      </c>
      <c r="C143" t="s">
        <v>307</v>
      </c>
      <c r="D143" t="s">
        <v>25</v>
      </c>
      <c r="E143" s="1">
        <v>46192</v>
      </c>
      <c r="F143" s="2">
        <v>0.45833333333333331</v>
      </c>
      <c r="G143">
        <v>0</v>
      </c>
      <c r="H143">
        <v>31</v>
      </c>
      <c r="I143">
        <v>3100</v>
      </c>
      <c r="J143">
        <v>38.6</v>
      </c>
      <c r="K143" t="s">
        <v>271</v>
      </c>
      <c r="L143" t="s">
        <v>19</v>
      </c>
      <c r="M143" t="s">
        <v>28</v>
      </c>
      <c r="N143" t="s">
        <v>29</v>
      </c>
    </row>
    <row r="144" spans="1:14" x14ac:dyDescent="0.3">
      <c r="A144" t="s">
        <v>14</v>
      </c>
      <c r="B144" t="s">
        <v>15</v>
      </c>
      <c r="C144" t="s">
        <v>38</v>
      </c>
      <c r="D144" t="s">
        <v>47</v>
      </c>
      <c r="E144" s="1">
        <v>46184</v>
      </c>
      <c r="F144" s="2">
        <v>0.53125</v>
      </c>
      <c r="G144">
        <v>0</v>
      </c>
      <c r="H144">
        <v>54</v>
      </c>
      <c r="I144">
        <v>4320</v>
      </c>
      <c r="J144">
        <v>38.520000000000003</v>
      </c>
      <c r="K144" t="s">
        <v>308</v>
      </c>
      <c r="L144" t="s">
        <v>37</v>
      </c>
      <c r="M144" t="s">
        <v>28</v>
      </c>
      <c r="N144" t="s">
        <v>29</v>
      </c>
    </row>
    <row r="145" spans="1:14" x14ac:dyDescent="0.3">
      <c r="A145" t="s">
        <v>14</v>
      </c>
      <c r="B145" t="s">
        <v>15</v>
      </c>
      <c r="C145" t="s">
        <v>309</v>
      </c>
      <c r="D145" t="s">
        <v>17</v>
      </c>
      <c r="E145" s="1">
        <v>46199</v>
      </c>
      <c r="F145" s="2">
        <v>0.75</v>
      </c>
      <c r="G145">
        <v>49</v>
      </c>
      <c r="H145">
        <v>76</v>
      </c>
      <c r="I145">
        <v>9120</v>
      </c>
      <c r="J145">
        <v>29.01</v>
      </c>
      <c r="K145" t="s">
        <v>310</v>
      </c>
      <c r="L145" t="s">
        <v>37</v>
      </c>
      <c r="M145" t="s">
        <v>28</v>
      </c>
      <c r="N145" t="s">
        <v>21</v>
      </c>
    </row>
    <row r="146" spans="1:14" x14ac:dyDescent="0.3">
      <c r="A146" t="s">
        <v>14</v>
      </c>
      <c r="B146" t="s">
        <v>15</v>
      </c>
      <c r="C146" t="s">
        <v>311</v>
      </c>
      <c r="D146" t="s">
        <v>25</v>
      </c>
      <c r="E146" s="1">
        <v>46196</v>
      </c>
      <c r="F146" s="2">
        <v>0.32291666666666669</v>
      </c>
      <c r="G146">
        <v>0</v>
      </c>
      <c r="H146">
        <v>75</v>
      </c>
      <c r="I146">
        <v>6000</v>
      </c>
      <c r="J146">
        <v>27.24</v>
      </c>
      <c r="K146" t="s">
        <v>312</v>
      </c>
      <c r="L146" t="s">
        <v>44</v>
      </c>
      <c r="M146" t="s">
        <v>28</v>
      </c>
      <c r="N146" t="s">
        <v>29</v>
      </c>
    </row>
    <row r="147" spans="1:14" x14ac:dyDescent="0.3">
      <c r="A147" t="s">
        <v>14</v>
      </c>
      <c r="B147" t="s">
        <v>15</v>
      </c>
      <c r="C147" t="s">
        <v>313</v>
      </c>
      <c r="D147" t="s">
        <v>47</v>
      </c>
      <c r="E147" s="1">
        <v>46199</v>
      </c>
      <c r="F147" s="2">
        <v>0.44791666666666669</v>
      </c>
      <c r="G147">
        <v>0</v>
      </c>
      <c r="H147">
        <v>43</v>
      </c>
      <c r="I147">
        <v>3440</v>
      </c>
      <c r="J147">
        <v>24.44</v>
      </c>
      <c r="K147" t="s">
        <v>314</v>
      </c>
      <c r="L147" t="s">
        <v>44</v>
      </c>
      <c r="M147" t="s">
        <v>28</v>
      </c>
      <c r="N147" t="s">
        <v>29</v>
      </c>
    </row>
    <row r="148" spans="1:14" x14ac:dyDescent="0.3">
      <c r="A148" t="s">
        <v>14</v>
      </c>
      <c r="B148" t="s">
        <v>15</v>
      </c>
      <c r="C148" t="s">
        <v>315</v>
      </c>
      <c r="D148" t="s">
        <v>47</v>
      </c>
      <c r="E148" s="1">
        <v>46175</v>
      </c>
      <c r="F148" s="2">
        <v>0.55208333333333337</v>
      </c>
      <c r="G148">
        <v>62</v>
      </c>
      <c r="H148">
        <v>64</v>
      </c>
      <c r="I148">
        <v>6400</v>
      </c>
      <c r="J148">
        <v>17.440000000000001</v>
      </c>
      <c r="K148" t="s">
        <v>316</v>
      </c>
      <c r="L148" t="s">
        <v>44</v>
      </c>
      <c r="M148" t="s">
        <v>28</v>
      </c>
      <c r="N148" t="s">
        <v>21</v>
      </c>
    </row>
    <row r="149" spans="1:14" x14ac:dyDescent="0.3">
      <c r="A149" t="s">
        <v>30</v>
      </c>
      <c r="B149" t="s">
        <v>31</v>
      </c>
      <c r="C149" t="s">
        <v>317</v>
      </c>
      <c r="D149" t="s">
        <v>25</v>
      </c>
      <c r="E149" s="1">
        <v>46187</v>
      </c>
      <c r="F149" s="2">
        <v>0.55208333333333337</v>
      </c>
      <c r="G149">
        <v>0</v>
      </c>
      <c r="H149">
        <v>10</v>
      </c>
      <c r="I149">
        <v>800</v>
      </c>
      <c r="J149">
        <v>22.23</v>
      </c>
      <c r="K149" t="s">
        <v>318</v>
      </c>
      <c r="L149" t="s">
        <v>19</v>
      </c>
      <c r="M149" t="s">
        <v>20</v>
      </c>
      <c r="N149" t="s">
        <v>45</v>
      </c>
    </row>
    <row r="150" spans="1:14" x14ac:dyDescent="0.3">
      <c r="A150" t="s">
        <v>40</v>
      </c>
      <c r="B150" t="s">
        <v>41</v>
      </c>
      <c r="C150" t="s">
        <v>319</v>
      </c>
      <c r="D150" t="s">
        <v>25</v>
      </c>
      <c r="E150" s="1">
        <v>46175</v>
      </c>
      <c r="F150" s="2">
        <v>0.34375</v>
      </c>
      <c r="G150">
        <v>0</v>
      </c>
      <c r="H150">
        <v>81</v>
      </c>
      <c r="I150">
        <v>8100</v>
      </c>
      <c r="J150">
        <v>22.77</v>
      </c>
      <c r="K150" t="s">
        <v>320</v>
      </c>
      <c r="L150" t="s">
        <v>27</v>
      </c>
      <c r="M150" t="s">
        <v>28</v>
      </c>
      <c r="N150" t="s">
        <v>45</v>
      </c>
    </row>
    <row r="151" spans="1:14" x14ac:dyDescent="0.3">
      <c r="A151" t="s">
        <v>14</v>
      </c>
      <c r="B151" t="s">
        <v>15</v>
      </c>
      <c r="C151" t="s">
        <v>321</v>
      </c>
      <c r="D151" t="s">
        <v>25</v>
      </c>
      <c r="E151" s="1">
        <v>46202</v>
      </c>
      <c r="F151" s="2">
        <v>0.70833333333333337</v>
      </c>
      <c r="G151">
        <v>33</v>
      </c>
      <c r="H151">
        <v>47</v>
      </c>
      <c r="I151">
        <v>3760</v>
      </c>
      <c r="J151">
        <v>29.78</v>
      </c>
      <c r="K151" t="s">
        <v>322</v>
      </c>
      <c r="L151" t="s">
        <v>27</v>
      </c>
      <c r="M151" t="s">
        <v>28</v>
      </c>
      <c r="N151" t="s">
        <v>21</v>
      </c>
    </row>
    <row r="152" spans="1:14" x14ac:dyDescent="0.3">
      <c r="A152" t="s">
        <v>71</v>
      </c>
      <c r="B152" t="s">
        <v>72</v>
      </c>
      <c r="C152" t="s">
        <v>323</v>
      </c>
      <c r="D152" t="s">
        <v>47</v>
      </c>
      <c r="E152" s="1">
        <v>46177</v>
      </c>
      <c r="F152" s="2">
        <v>0.34375</v>
      </c>
      <c r="G152">
        <v>28</v>
      </c>
      <c r="H152">
        <v>15</v>
      </c>
      <c r="I152">
        <v>1800</v>
      </c>
      <c r="J152">
        <v>37.549999999999997</v>
      </c>
      <c r="K152" t="s">
        <v>324</v>
      </c>
      <c r="L152" t="s">
        <v>44</v>
      </c>
      <c r="M152" t="s">
        <v>28</v>
      </c>
      <c r="N152" t="s">
        <v>21</v>
      </c>
    </row>
    <row r="153" spans="1:14" x14ac:dyDescent="0.3">
      <c r="A153" t="s">
        <v>71</v>
      </c>
      <c r="B153" t="s">
        <v>72</v>
      </c>
      <c r="C153" t="s">
        <v>325</v>
      </c>
      <c r="D153" t="s">
        <v>47</v>
      </c>
      <c r="E153" s="1">
        <v>46190</v>
      </c>
      <c r="F153" s="2">
        <v>0.46875</v>
      </c>
      <c r="G153">
        <v>0</v>
      </c>
      <c r="H153">
        <v>34</v>
      </c>
      <c r="I153">
        <v>2720</v>
      </c>
      <c r="J153">
        <v>29.48</v>
      </c>
      <c r="K153" t="s">
        <v>114</v>
      </c>
      <c r="L153" t="s">
        <v>44</v>
      </c>
      <c r="M153" t="s">
        <v>28</v>
      </c>
      <c r="N153" t="s">
        <v>29</v>
      </c>
    </row>
    <row r="154" spans="1:14" x14ac:dyDescent="0.3">
      <c r="A154" t="s">
        <v>71</v>
      </c>
      <c r="B154" t="s">
        <v>72</v>
      </c>
      <c r="C154" t="s">
        <v>326</v>
      </c>
      <c r="D154" t="s">
        <v>17</v>
      </c>
      <c r="E154" s="1">
        <v>46176</v>
      </c>
      <c r="F154" s="2">
        <v>0.71875</v>
      </c>
      <c r="G154">
        <v>0</v>
      </c>
      <c r="H154">
        <v>26</v>
      </c>
      <c r="I154">
        <v>3120</v>
      </c>
      <c r="J154">
        <v>17.21</v>
      </c>
      <c r="K154" t="s">
        <v>147</v>
      </c>
      <c r="L154" t="s">
        <v>44</v>
      </c>
      <c r="M154" t="s">
        <v>28</v>
      </c>
      <c r="N154" t="s">
        <v>45</v>
      </c>
    </row>
    <row r="155" spans="1:14" x14ac:dyDescent="0.3">
      <c r="A155" t="s">
        <v>71</v>
      </c>
      <c r="B155" t="s">
        <v>72</v>
      </c>
      <c r="C155" t="s">
        <v>327</v>
      </c>
      <c r="D155" t="s">
        <v>33</v>
      </c>
      <c r="E155" s="1">
        <v>46186</v>
      </c>
      <c r="F155" s="2">
        <v>0.45833333333333331</v>
      </c>
      <c r="G155">
        <v>61</v>
      </c>
      <c r="H155">
        <v>70</v>
      </c>
      <c r="I155">
        <v>8400</v>
      </c>
      <c r="J155">
        <v>43.75</v>
      </c>
      <c r="K155" t="s">
        <v>328</v>
      </c>
      <c r="L155" t="s">
        <v>37</v>
      </c>
      <c r="M155" t="s">
        <v>20</v>
      </c>
      <c r="N155" t="s">
        <v>21</v>
      </c>
    </row>
    <row r="156" spans="1:14" x14ac:dyDescent="0.3">
      <c r="A156" t="s">
        <v>30</v>
      </c>
      <c r="B156" t="s">
        <v>31</v>
      </c>
      <c r="C156" t="s">
        <v>329</v>
      </c>
      <c r="D156" t="s">
        <v>25</v>
      </c>
      <c r="E156" s="1">
        <v>46182</v>
      </c>
      <c r="F156" s="2">
        <v>0.34375</v>
      </c>
      <c r="G156">
        <v>33</v>
      </c>
      <c r="H156">
        <v>21</v>
      </c>
      <c r="I156">
        <v>1680</v>
      </c>
      <c r="J156">
        <v>31.34</v>
      </c>
      <c r="K156" t="s">
        <v>330</v>
      </c>
      <c r="L156" t="s">
        <v>44</v>
      </c>
      <c r="M156" t="s">
        <v>28</v>
      </c>
      <c r="N156" t="s">
        <v>21</v>
      </c>
    </row>
    <row r="157" spans="1:14" x14ac:dyDescent="0.3">
      <c r="A157" t="s">
        <v>71</v>
      </c>
      <c r="B157" t="s">
        <v>72</v>
      </c>
      <c r="C157" t="s">
        <v>331</v>
      </c>
      <c r="D157" t="s">
        <v>47</v>
      </c>
      <c r="E157" s="1">
        <v>46180</v>
      </c>
      <c r="F157" s="2">
        <v>0.55208333333333337</v>
      </c>
      <c r="G157">
        <v>54</v>
      </c>
      <c r="H157">
        <v>15</v>
      </c>
      <c r="I157">
        <v>1800</v>
      </c>
      <c r="J157">
        <v>38.659999999999997</v>
      </c>
      <c r="K157" t="s">
        <v>332</v>
      </c>
      <c r="L157" t="s">
        <v>37</v>
      </c>
      <c r="M157" t="s">
        <v>20</v>
      </c>
      <c r="N157" t="s">
        <v>21</v>
      </c>
    </row>
    <row r="158" spans="1:14" x14ac:dyDescent="0.3">
      <c r="A158" t="s">
        <v>14</v>
      </c>
      <c r="B158" t="s">
        <v>15</v>
      </c>
      <c r="C158" t="s">
        <v>333</v>
      </c>
      <c r="D158" t="s">
        <v>47</v>
      </c>
      <c r="E158" s="1">
        <v>46188</v>
      </c>
      <c r="F158" s="2">
        <v>0.71875</v>
      </c>
      <c r="G158">
        <v>44</v>
      </c>
      <c r="H158">
        <v>36</v>
      </c>
      <c r="I158">
        <v>2880</v>
      </c>
      <c r="J158">
        <v>30.105</v>
      </c>
      <c r="K158" t="s">
        <v>334</v>
      </c>
      <c r="L158" t="s">
        <v>27</v>
      </c>
      <c r="M158" t="s">
        <v>28</v>
      </c>
      <c r="N158" t="s">
        <v>21</v>
      </c>
    </row>
    <row r="159" spans="1:14" x14ac:dyDescent="0.3">
      <c r="A159" t="s">
        <v>22</v>
      </c>
      <c r="B159" t="s">
        <v>23</v>
      </c>
      <c r="C159" t="s">
        <v>335</v>
      </c>
      <c r="D159" t="s">
        <v>25</v>
      </c>
      <c r="E159" s="1">
        <v>46196</v>
      </c>
      <c r="F159" s="2">
        <v>0.375</v>
      </c>
      <c r="G159">
        <v>0</v>
      </c>
      <c r="H159">
        <v>17</v>
      </c>
      <c r="I159">
        <v>1360</v>
      </c>
      <c r="J159">
        <v>31.56</v>
      </c>
      <c r="K159" t="s">
        <v>336</v>
      </c>
      <c r="L159" t="s">
        <v>19</v>
      </c>
      <c r="M159" t="s">
        <v>28</v>
      </c>
      <c r="N159" t="s">
        <v>29</v>
      </c>
    </row>
    <row r="160" spans="1:14" x14ac:dyDescent="0.3">
      <c r="A160" t="s">
        <v>71</v>
      </c>
      <c r="B160" t="s">
        <v>72</v>
      </c>
      <c r="C160" t="s">
        <v>337</v>
      </c>
      <c r="D160" t="s">
        <v>33</v>
      </c>
      <c r="E160" s="1">
        <v>46202</v>
      </c>
      <c r="F160" s="2">
        <v>0.75</v>
      </c>
      <c r="G160">
        <v>0</v>
      </c>
      <c r="H160">
        <v>74</v>
      </c>
      <c r="I160">
        <v>8880</v>
      </c>
      <c r="J160">
        <v>43.9</v>
      </c>
      <c r="K160" t="s">
        <v>338</v>
      </c>
      <c r="L160" t="s">
        <v>19</v>
      </c>
      <c r="M160" t="s">
        <v>28</v>
      </c>
      <c r="N160" t="s">
        <v>45</v>
      </c>
    </row>
    <row r="161" spans="1:14" x14ac:dyDescent="0.3">
      <c r="A161" t="s">
        <v>30</v>
      </c>
      <c r="B161" t="s">
        <v>31</v>
      </c>
      <c r="C161" t="s">
        <v>339</v>
      </c>
      <c r="D161" t="s">
        <v>25</v>
      </c>
      <c r="E161" s="1">
        <v>46202</v>
      </c>
      <c r="F161" s="2">
        <v>0.83333333333333337</v>
      </c>
      <c r="G161">
        <v>0</v>
      </c>
      <c r="H161">
        <v>66</v>
      </c>
      <c r="I161">
        <v>7920</v>
      </c>
      <c r="J161">
        <v>17.73</v>
      </c>
      <c r="K161" t="s">
        <v>340</v>
      </c>
      <c r="L161" t="s">
        <v>19</v>
      </c>
      <c r="M161" t="s">
        <v>28</v>
      </c>
      <c r="N161" t="s">
        <v>29</v>
      </c>
    </row>
    <row r="162" spans="1:14" x14ac:dyDescent="0.3">
      <c r="A162" t="s">
        <v>30</v>
      </c>
      <c r="B162" t="s">
        <v>31</v>
      </c>
      <c r="C162" t="s">
        <v>341</v>
      </c>
      <c r="D162" t="s">
        <v>33</v>
      </c>
      <c r="E162" s="1">
        <v>46184</v>
      </c>
      <c r="F162" s="2">
        <v>0.88541666666666663</v>
      </c>
      <c r="G162">
        <v>54</v>
      </c>
      <c r="H162">
        <v>49</v>
      </c>
      <c r="I162">
        <v>4900</v>
      </c>
      <c r="J162">
        <v>26.29</v>
      </c>
      <c r="K162" t="s">
        <v>342</v>
      </c>
      <c r="L162" t="s">
        <v>19</v>
      </c>
      <c r="M162" t="s">
        <v>28</v>
      </c>
      <c r="N162" t="s">
        <v>21</v>
      </c>
    </row>
    <row r="163" spans="1:14" x14ac:dyDescent="0.3">
      <c r="A163" t="s">
        <v>71</v>
      </c>
      <c r="B163" t="s">
        <v>72</v>
      </c>
      <c r="C163" t="s">
        <v>343</v>
      </c>
      <c r="D163" t="s">
        <v>47</v>
      </c>
      <c r="E163" s="1">
        <v>46193</v>
      </c>
      <c r="F163" s="2">
        <v>0.90625</v>
      </c>
      <c r="G163">
        <v>0</v>
      </c>
      <c r="H163">
        <v>23</v>
      </c>
      <c r="I163">
        <v>2760</v>
      </c>
      <c r="J163">
        <v>22.15</v>
      </c>
      <c r="K163" t="s">
        <v>344</v>
      </c>
      <c r="L163" t="s">
        <v>37</v>
      </c>
      <c r="M163" t="s">
        <v>20</v>
      </c>
      <c r="N163" t="s">
        <v>29</v>
      </c>
    </row>
    <row r="164" spans="1:14" x14ac:dyDescent="0.3">
      <c r="A164" t="s">
        <v>22</v>
      </c>
      <c r="B164" t="s">
        <v>23</v>
      </c>
      <c r="C164" t="s">
        <v>345</v>
      </c>
      <c r="D164" t="s">
        <v>33</v>
      </c>
      <c r="E164" s="1">
        <v>46175</v>
      </c>
      <c r="F164" s="2">
        <v>0.94791666666666663</v>
      </c>
      <c r="G164">
        <v>0</v>
      </c>
      <c r="H164">
        <v>44</v>
      </c>
      <c r="I164">
        <v>4400</v>
      </c>
      <c r="J164">
        <v>21.28</v>
      </c>
      <c r="K164" t="s">
        <v>346</v>
      </c>
      <c r="L164" t="s">
        <v>37</v>
      </c>
      <c r="M164" t="s">
        <v>28</v>
      </c>
      <c r="N164" t="s">
        <v>29</v>
      </c>
    </row>
    <row r="165" spans="1:14" x14ac:dyDescent="0.3">
      <c r="A165" t="s">
        <v>71</v>
      </c>
      <c r="B165" t="s">
        <v>72</v>
      </c>
      <c r="C165" t="s">
        <v>347</v>
      </c>
      <c r="D165" t="s">
        <v>17</v>
      </c>
      <c r="E165" s="1">
        <v>46188</v>
      </c>
      <c r="F165" s="2">
        <v>0.73958333333333337</v>
      </c>
      <c r="G165">
        <v>43</v>
      </c>
      <c r="H165">
        <v>57</v>
      </c>
      <c r="I165">
        <v>6840</v>
      </c>
      <c r="J165">
        <v>19.649999999999999</v>
      </c>
      <c r="K165" t="s">
        <v>348</v>
      </c>
      <c r="L165" t="s">
        <v>44</v>
      </c>
      <c r="M165" t="s">
        <v>28</v>
      </c>
      <c r="N165" t="s">
        <v>21</v>
      </c>
    </row>
    <row r="166" spans="1:14" x14ac:dyDescent="0.3">
      <c r="A166" t="s">
        <v>30</v>
      </c>
      <c r="B166" t="s">
        <v>31</v>
      </c>
      <c r="C166" t="s">
        <v>349</v>
      </c>
      <c r="D166" t="s">
        <v>47</v>
      </c>
      <c r="E166" s="1">
        <v>46187</v>
      </c>
      <c r="F166" s="2">
        <v>0.36458333333333331</v>
      </c>
      <c r="G166">
        <v>0</v>
      </c>
      <c r="H166">
        <v>65</v>
      </c>
      <c r="I166">
        <v>5200</v>
      </c>
      <c r="J166">
        <v>33.86</v>
      </c>
      <c r="K166" t="s">
        <v>350</v>
      </c>
      <c r="L166" t="s">
        <v>37</v>
      </c>
      <c r="M166" t="s">
        <v>20</v>
      </c>
      <c r="N166" t="s">
        <v>29</v>
      </c>
    </row>
    <row r="167" spans="1:14" x14ac:dyDescent="0.3">
      <c r="A167" t="s">
        <v>40</v>
      </c>
      <c r="B167" t="s">
        <v>41</v>
      </c>
      <c r="C167" t="s">
        <v>351</v>
      </c>
      <c r="D167" t="s">
        <v>17</v>
      </c>
      <c r="E167" s="1">
        <v>46193</v>
      </c>
      <c r="F167" s="2">
        <v>0.77083333333333337</v>
      </c>
      <c r="G167">
        <v>0</v>
      </c>
      <c r="H167">
        <v>58</v>
      </c>
      <c r="I167">
        <v>6960</v>
      </c>
      <c r="J167">
        <v>38.549999999999997</v>
      </c>
      <c r="K167" t="s">
        <v>352</v>
      </c>
      <c r="L167" t="s">
        <v>44</v>
      </c>
      <c r="M167" t="s">
        <v>20</v>
      </c>
      <c r="N167" t="s">
        <v>29</v>
      </c>
    </row>
    <row r="168" spans="1:14" x14ac:dyDescent="0.3">
      <c r="A168" t="s">
        <v>14</v>
      </c>
      <c r="B168" t="s">
        <v>15</v>
      </c>
      <c r="C168" t="s">
        <v>353</v>
      </c>
      <c r="D168" t="s">
        <v>25</v>
      </c>
      <c r="E168" s="1">
        <v>46195</v>
      </c>
      <c r="F168" s="2">
        <v>0.55208333333333337</v>
      </c>
      <c r="G168">
        <v>0</v>
      </c>
      <c r="H168">
        <v>22</v>
      </c>
      <c r="I168">
        <v>1760</v>
      </c>
      <c r="J168">
        <v>32.56</v>
      </c>
      <c r="K168" t="s">
        <v>354</v>
      </c>
      <c r="L168" t="s">
        <v>44</v>
      </c>
      <c r="M168" t="s">
        <v>28</v>
      </c>
      <c r="N168" t="s">
        <v>29</v>
      </c>
    </row>
    <row r="169" spans="1:14" x14ac:dyDescent="0.3">
      <c r="A169" t="s">
        <v>30</v>
      </c>
      <c r="B169" t="s">
        <v>31</v>
      </c>
      <c r="C169" t="s">
        <v>355</v>
      </c>
      <c r="D169" t="s">
        <v>25</v>
      </c>
      <c r="E169" s="1">
        <v>46184</v>
      </c>
      <c r="F169" s="2">
        <v>0.44791666666666669</v>
      </c>
      <c r="G169">
        <v>38</v>
      </c>
      <c r="H169">
        <v>70</v>
      </c>
      <c r="I169">
        <v>5600</v>
      </c>
      <c r="J169">
        <v>19.84</v>
      </c>
      <c r="K169" t="s">
        <v>356</v>
      </c>
      <c r="L169" t="s">
        <v>19</v>
      </c>
      <c r="M169" t="s">
        <v>28</v>
      </c>
      <c r="N169" t="s">
        <v>21</v>
      </c>
    </row>
    <row r="170" spans="1:14" x14ac:dyDescent="0.3">
      <c r="A170" t="s">
        <v>71</v>
      </c>
      <c r="B170" t="s">
        <v>72</v>
      </c>
      <c r="C170" t="s">
        <v>357</v>
      </c>
      <c r="D170" t="s">
        <v>25</v>
      </c>
      <c r="E170" s="1">
        <v>46200</v>
      </c>
      <c r="F170" s="2">
        <v>0.57291666666666663</v>
      </c>
      <c r="G170">
        <v>0</v>
      </c>
      <c r="H170">
        <v>58</v>
      </c>
      <c r="I170">
        <v>4640</v>
      </c>
      <c r="J170">
        <v>39.43</v>
      </c>
      <c r="K170" t="s">
        <v>118</v>
      </c>
      <c r="L170" t="s">
        <v>37</v>
      </c>
      <c r="M170" t="s">
        <v>20</v>
      </c>
      <c r="N170" t="s">
        <v>29</v>
      </c>
    </row>
    <row r="171" spans="1:14" x14ac:dyDescent="0.3">
      <c r="A171" t="s">
        <v>14</v>
      </c>
      <c r="B171" t="s">
        <v>15</v>
      </c>
      <c r="C171" t="s">
        <v>358</v>
      </c>
      <c r="D171" t="s">
        <v>33</v>
      </c>
      <c r="E171" s="1">
        <v>46176</v>
      </c>
      <c r="F171" s="2">
        <v>0.70833333333333337</v>
      </c>
      <c r="G171">
        <v>0</v>
      </c>
      <c r="H171">
        <v>55</v>
      </c>
      <c r="I171">
        <v>5500</v>
      </c>
      <c r="J171">
        <v>34.26</v>
      </c>
      <c r="K171" t="s">
        <v>359</v>
      </c>
      <c r="L171" t="s">
        <v>37</v>
      </c>
      <c r="M171" t="s">
        <v>28</v>
      </c>
      <c r="N171" t="s">
        <v>29</v>
      </c>
    </row>
    <row r="172" spans="1:14" x14ac:dyDescent="0.3">
      <c r="A172" t="s">
        <v>71</v>
      </c>
      <c r="B172" t="s">
        <v>72</v>
      </c>
      <c r="C172" t="s">
        <v>360</v>
      </c>
      <c r="D172" t="s">
        <v>47</v>
      </c>
      <c r="E172" s="1">
        <v>46190</v>
      </c>
      <c r="F172" s="2">
        <v>0.46875</v>
      </c>
      <c r="G172">
        <v>0</v>
      </c>
      <c r="H172">
        <v>71</v>
      </c>
      <c r="I172">
        <v>8520</v>
      </c>
      <c r="J172">
        <v>26.95</v>
      </c>
      <c r="K172" t="s">
        <v>361</v>
      </c>
      <c r="L172" t="s">
        <v>44</v>
      </c>
      <c r="M172" t="s">
        <v>28</v>
      </c>
      <c r="N172" t="s">
        <v>29</v>
      </c>
    </row>
    <row r="173" spans="1:14" x14ac:dyDescent="0.3">
      <c r="A173" t="s">
        <v>71</v>
      </c>
      <c r="B173" t="s">
        <v>72</v>
      </c>
      <c r="C173" t="s">
        <v>362</v>
      </c>
      <c r="D173" t="s">
        <v>25</v>
      </c>
      <c r="E173" s="1">
        <v>46203</v>
      </c>
      <c r="F173" s="2">
        <v>0.5625</v>
      </c>
      <c r="G173">
        <v>0</v>
      </c>
      <c r="H173">
        <v>17</v>
      </c>
      <c r="I173">
        <v>1360</v>
      </c>
      <c r="J173">
        <v>35.39</v>
      </c>
      <c r="K173" t="s">
        <v>363</v>
      </c>
      <c r="L173" t="s">
        <v>44</v>
      </c>
      <c r="M173" t="s">
        <v>28</v>
      </c>
      <c r="N173" t="s">
        <v>29</v>
      </c>
    </row>
    <row r="174" spans="1:14" x14ac:dyDescent="0.3">
      <c r="A174" t="s">
        <v>40</v>
      </c>
      <c r="B174" t="s">
        <v>41</v>
      </c>
      <c r="C174" t="s">
        <v>364</v>
      </c>
      <c r="D174" t="s">
        <v>25</v>
      </c>
      <c r="E174" s="1">
        <v>46185</v>
      </c>
      <c r="F174" s="2">
        <v>0.25</v>
      </c>
      <c r="G174">
        <v>25</v>
      </c>
      <c r="H174">
        <v>52</v>
      </c>
      <c r="I174">
        <v>4160</v>
      </c>
      <c r="J174">
        <v>23.17</v>
      </c>
      <c r="K174" t="s">
        <v>365</v>
      </c>
      <c r="L174" t="s">
        <v>27</v>
      </c>
      <c r="M174" t="s">
        <v>28</v>
      </c>
      <c r="N174" t="s">
        <v>21</v>
      </c>
    </row>
    <row r="175" spans="1:14" x14ac:dyDescent="0.3">
      <c r="A175" t="s">
        <v>14</v>
      </c>
      <c r="B175" t="s">
        <v>15</v>
      </c>
      <c r="C175" t="s">
        <v>366</v>
      </c>
      <c r="D175" t="s">
        <v>47</v>
      </c>
      <c r="E175" s="1">
        <v>46197</v>
      </c>
      <c r="F175" s="2">
        <v>0.90625</v>
      </c>
      <c r="G175">
        <v>63</v>
      </c>
      <c r="H175">
        <v>29</v>
      </c>
      <c r="I175">
        <v>2900</v>
      </c>
      <c r="J175">
        <v>25.68</v>
      </c>
      <c r="K175" t="s">
        <v>367</v>
      </c>
      <c r="L175" t="s">
        <v>27</v>
      </c>
      <c r="M175" t="s">
        <v>28</v>
      </c>
      <c r="N175" t="s">
        <v>21</v>
      </c>
    </row>
    <row r="176" spans="1:14" x14ac:dyDescent="0.3">
      <c r="A176" t="s">
        <v>14</v>
      </c>
      <c r="B176" t="s">
        <v>15</v>
      </c>
      <c r="C176" t="s">
        <v>368</v>
      </c>
      <c r="D176" t="s">
        <v>25</v>
      </c>
      <c r="E176" s="1">
        <v>46201</v>
      </c>
      <c r="F176" s="2">
        <v>0.48958333333333331</v>
      </c>
      <c r="G176">
        <v>0</v>
      </c>
      <c r="H176">
        <v>48</v>
      </c>
      <c r="I176">
        <v>5760</v>
      </c>
      <c r="J176">
        <v>42.57</v>
      </c>
      <c r="K176" t="s">
        <v>369</v>
      </c>
      <c r="L176" t="s">
        <v>44</v>
      </c>
      <c r="M176" t="s">
        <v>20</v>
      </c>
      <c r="N176" t="s">
        <v>29</v>
      </c>
    </row>
    <row r="177" spans="1:14" x14ac:dyDescent="0.3">
      <c r="A177" t="s">
        <v>40</v>
      </c>
      <c r="B177" t="s">
        <v>41</v>
      </c>
      <c r="C177" t="s">
        <v>370</v>
      </c>
      <c r="D177" t="s">
        <v>17</v>
      </c>
      <c r="E177" s="1">
        <v>46202</v>
      </c>
      <c r="F177" s="2">
        <v>0.29166666666666669</v>
      </c>
      <c r="G177">
        <v>0</v>
      </c>
      <c r="H177">
        <v>58</v>
      </c>
      <c r="I177">
        <v>6960</v>
      </c>
      <c r="J177">
        <v>24.07</v>
      </c>
      <c r="K177" t="s">
        <v>371</v>
      </c>
      <c r="L177" t="s">
        <v>27</v>
      </c>
      <c r="M177" t="s">
        <v>28</v>
      </c>
      <c r="N177" t="s">
        <v>45</v>
      </c>
    </row>
    <row r="178" spans="1:14" x14ac:dyDescent="0.3">
      <c r="A178" t="s">
        <v>30</v>
      </c>
      <c r="B178" t="s">
        <v>31</v>
      </c>
      <c r="C178" t="s">
        <v>372</v>
      </c>
      <c r="D178" t="s">
        <v>47</v>
      </c>
      <c r="E178" s="1">
        <v>46194</v>
      </c>
      <c r="F178" s="2">
        <v>0.82291666666666663</v>
      </c>
      <c r="G178">
        <v>10</v>
      </c>
      <c r="H178">
        <v>73</v>
      </c>
      <c r="I178">
        <v>7300</v>
      </c>
      <c r="J178">
        <v>29.36</v>
      </c>
      <c r="K178" t="s">
        <v>373</v>
      </c>
      <c r="L178" t="s">
        <v>27</v>
      </c>
      <c r="M178" t="s">
        <v>20</v>
      </c>
      <c r="N178" t="s">
        <v>21</v>
      </c>
    </row>
    <row r="179" spans="1:14" x14ac:dyDescent="0.3">
      <c r="A179" t="s">
        <v>71</v>
      </c>
      <c r="B179" t="s">
        <v>72</v>
      </c>
      <c r="C179" t="s">
        <v>374</v>
      </c>
      <c r="D179" t="s">
        <v>47</v>
      </c>
      <c r="E179" s="1">
        <v>46188</v>
      </c>
      <c r="F179" s="2">
        <v>0.27083333333333331</v>
      </c>
      <c r="G179">
        <v>0</v>
      </c>
      <c r="H179">
        <v>71</v>
      </c>
      <c r="I179">
        <v>7100</v>
      </c>
      <c r="J179">
        <v>41.76</v>
      </c>
      <c r="K179" t="s">
        <v>375</v>
      </c>
      <c r="L179" t="s">
        <v>44</v>
      </c>
      <c r="M179" t="s">
        <v>28</v>
      </c>
      <c r="N179" t="s">
        <v>21</v>
      </c>
    </row>
    <row r="180" spans="1:14" x14ac:dyDescent="0.3">
      <c r="A180" t="s">
        <v>22</v>
      </c>
      <c r="B180" t="s">
        <v>23</v>
      </c>
      <c r="C180" t="s">
        <v>376</v>
      </c>
      <c r="D180" t="s">
        <v>47</v>
      </c>
      <c r="E180" s="1">
        <v>46189</v>
      </c>
      <c r="F180" s="2">
        <v>0.76041666666666663</v>
      </c>
      <c r="G180">
        <v>0</v>
      </c>
      <c r="H180">
        <v>63</v>
      </c>
      <c r="I180">
        <v>7560</v>
      </c>
      <c r="J180">
        <v>36.380000000000003</v>
      </c>
      <c r="K180" t="s">
        <v>377</v>
      </c>
      <c r="L180" t="s">
        <v>44</v>
      </c>
      <c r="M180" t="s">
        <v>28</v>
      </c>
      <c r="N180" t="s">
        <v>45</v>
      </c>
    </row>
    <row r="181" spans="1:14" x14ac:dyDescent="0.3">
      <c r="A181" t="s">
        <v>71</v>
      </c>
      <c r="B181" t="s">
        <v>72</v>
      </c>
      <c r="C181" t="s">
        <v>378</v>
      </c>
      <c r="D181" t="s">
        <v>17</v>
      </c>
      <c r="E181" s="1">
        <v>46178</v>
      </c>
      <c r="F181" s="2">
        <v>0.58333333333333337</v>
      </c>
      <c r="G181">
        <v>0</v>
      </c>
      <c r="H181">
        <v>18</v>
      </c>
      <c r="I181">
        <v>1800</v>
      </c>
      <c r="J181">
        <v>17.329999999999998</v>
      </c>
      <c r="K181" t="s">
        <v>82</v>
      </c>
      <c r="L181" t="s">
        <v>37</v>
      </c>
      <c r="M181" t="s">
        <v>28</v>
      </c>
      <c r="N181" t="s">
        <v>45</v>
      </c>
    </row>
    <row r="182" spans="1:14" x14ac:dyDescent="0.3">
      <c r="A182" t="s">
        <v>71</v>
      </c>
      <c r="B182" t="s">
        <v>72</v>
      </c>
      <c r="C182" t="s">
        <v>379</v>
      </c>
      <c r="D182" t="s">
        <v>47</v>
      </c>
      <c r="E182" s="1">
        <v>46200</v>
      </c>
      <c r="F182" s="2">
        <v>0.3125</v>
      </c>
      <c r="G182">
        <v>0</v>
      </c>
      <c r="H182">
        <v>46</v>
      </c>
      <c r="I182">
        <v>5520</v>
      </c>
      <c r="J182">
        <v>19.850000000000001</v>
      </c>
      <c r="K182" t="s">
        <v>239</v>
      </c>
      <c r="L182" t="s">
        <v>44</v>
      </c>
      <c r="M182" t="s">
        <v>20</v>
      </c>
      <c r="N182" t="s">
        <v>45</v>
      </c>
    </row>
    <row r="183" spans="1:14" x14ac:dyDescent="0.3">
      <c r="A183" t="s">
        <v>30</v>
      </c>
      <c r="B183" t="s">
        <v>31</v>
      </c>
      <c r="C183" t="s">
        <v>380</v>
      </c>
      <c r="D183" t="s">
        <v>17</v>
      </c>
      <c r="E183" s="1">
        <v>46193</v>
      </c>
      <c r="F183" s="2">
        <v>0.58333333333333337</v>
      </c>
      <c r="G183">
        <v>25</v>
      </c>
      <c r="H183">
        <v>58</v>
      </c>
      <c r="I183">
        <v>6960</v>
      </c>
      <c r="J183">
        <v>15.73</v>
      </c>
      <c r="K183" t="s">
        <v>381</v>
      </c>
      <c r="L183" t="s">
        <v>44</v>
      </c>
      <c r="M183" t="s">
        <v>20</v>
      </c>
      <c r="N183" t="s">
        <v>21</v>
      </c>
    </row>
    <row r="184" spans="1:14" x14ac:dyDescent="0.3">
      <c r="A184" t="s">
        <v>71</v>
      </c>
      <c r="B184" t="s">
        <v>72</v>
      </c>
      <c r="C184" t="s">
        <v>382</v>
      </c>
      <c r="D184" t="s">
        <v>47</v>
      </c>
      <c r="E184" s="1">
        <v>46179</v>
      </c>
      <c r="F184" s="2">
        <v>0.6875</v>
      </c>
      <c r="G184">
        <v>0</v>
      </c>
      <c r="H184">
        <v>50</v>
      </c>
      <c r="I184">
        <v>4000</v>
      </c>
      <c r="J184">
        <v>34.11</v>
      </c>
      <c r="K184" t="s">
        <v>383</v>
      </c>
      <c r="L184" t="s">
        <v>19</v>
      </c>
      <c r="M184" t="s">
        <v>20</v>
      </c>
      <c r="N184" t="s">
        <v>29</v>
      </c>
    </row>
    <row r="185" spans="1:14" x14ac:dyDescent="0.3">
      <c r="A185" t="s">
        <v>40</v>
      </c>
      <c r="B185" t="s">
        <v>41</v>
      </c>
      <c r="C185" t="s">
        <v>384</v>
      </c>
      <c r="D185" t="s">
        <v>33</v>
      </c>
      <c r="E185" s="1">
        <v>46192</v>
      </c>
      <c r="F185" s="2">
        <v>0.38541666666666669</v>
      </c>
      <c r="G185">
        <v>49</v>
      </c>
      <c r="H185">
        <v>26</v>
      </c>
      <c r="I185">
        <v>2080</v>
      </c>
      <c r="J185">
        <v>28.71</v>
      </c>
      <c r="K185" t="s">
        <v>385</v>
      </c>
      <c r="L185" t="s">
        <v>37</v>
      </c>
      <c r="M185" t="s">
        <v>28</v>
      </c>
      <c r="N185" t="s">
        <v>21</v>
      </c>
    </row>
    <row r="186" spans="1:14" x14ac:dyDescent="0.3">
      <c r="A186" t="s">
        <v>40</v>
      </c>
      <c r="B186" t="s">
        <v>41</v>
      </c>
      <c r="C186" t="s">
        <v>386</v>
      </c>
      <c r="D186" t="s">
        <v>25</v>
      </c>
      <c r="E186" s="1">
        <v>46198</v>
      </c>
      <c r="F186" s="2">
        <v>0.47916666666666669</v>
      </c>
      <c r="G186">
        <v>0</v>
      </c>
      <c r="H186">
        <v>30</v>
      </c>
      <c r="I186">
        <v>3600</v>
      </c>
      <c r="J186">
        <v>19.46</v>
      </c>
      <c r="K186" t="s">
        <v>387</v>
      </c>
      <c r="L186" t="s">
        <v>37</v>
      </c>
      <c r="M186" t="s">
        <v>28</v>
      </c>
      <c r="N186" t="s">
        <v>29</v>
      </c>
    </row>
    <row r="187" spans="1:14" x14ac:dyDescent="0.3">
      <c r="A187" t="s">
        <v>14</v>
      </c>
      <c r="B187" t="s">
        <v>15</v>
      </c>
      <c r="C187" t="s">
        <v>388</v>
      </c>
      <c r="D187" t="s">
        <v>33</v>
      </c>
      <c r="E187" s="1">
        <v>46178</v>
      </c>
      <c r="F187" s="2">
        <v>0.6875</v>
      </c>
      <c r="G187">
        <v>0</v>
      </c>
      <c r="H187">
        <v>60</v>
      </c>
      <c r="I187">
        <v>7200</v>
      </c>
      <c r="J187">
        <v>43.76</v>
      </c>
      <c r="K187" t="s">
        <v>389</v>
      </c>
      <c r="L187" t="s">
        <v>37</v>
      </c>
      <c r="M187" t="s">
        <v>28</v>
      </c>
      <c r="N187" t="s">
        <v>29</v>
      </c>
    </row>
    <row r="188" spans="1:14" x14ac:dyDescent="0.3">
      <c r="A188" t="s">
        <v>22</v>
      </c>
      <c r="B188" t="s">
        <v>23</v>
      </c>
      <c r="C188" t="s">
        <v>390</v>
      </c>
      <c r="D188" t="s">
        <v>25</v>
      </c>
      <c r="E188" s="1">
        <v>46176</v>
      </c>
      <c r="F188" s="2">
        <v>0.44791666666666669</v>
      </c>
      <c r="G188">
        <v>0</v>
      </c>
      <c r="H188">
        <v>68</v>
      </c>
      <c r="I188">
        <v>8160</v>
      </c>
      <c r="J188">
        <v>31.12</v>
      </c>
      <c r="K188" t="s">
        <v>391</v>
      </c>
      <c r="L188" t="s">
        <v>19</v>
      </c>
      <c r="M188" t="s">
        <v>28</v>
      </c>
      <c r="N188" t="s">
        <v>45</v>
      </c>
    </row>
    <row r="189" spans="1:14" x14ac:dyDescent="0.3">
      <c r="A189" t="s">
        <v>71</v>
      </c>
      <c r="B189" t="s">
        <v>72</v>
      </c>
      <c r="C189" t="s">
        <v>392</v>
      </c>
      <c r="D189" t="s">
        <v>17</v>
      </c>
      <c r="E189" s="1">
        <v>46200</v>
      </c>
      <c r="F189" s="2">
        <v>0.65625</v>
      </c>
      <c r="G189">
        <v>34</v>
      </c>
      <c r="H189">
        <v>48</v>
      </c>
      <c r="I189">
        <v>5760</v>
      </c>
      <c r="J189">
        <v>22.64</v>
      </c>
      <c r="K189" t="s">
        <v>393</v>
      </c>
      <c r="L189" t="s">
        <v>44</v>
      </c>
      <c r="M189" t="s">
        <v>20</v>
      </c>
      <c r="N189" t="s">
        <v>21</v>
      </c>
    </row>
    <row r="190" spans="1:14" x14ac:dyDescent="0.3">
      <c r="A190" t="s">
        <v>71</v>
      </c>
      <c r="B190" t="s">
        <v>72</v>
      </c>
      <c r="C190" t="s">
        <v>394</v>
      </c>
      <c r="D190" t="s">
        <v>33</v>
      </c>
      <c r="E190" s="1">
        <v>46174</v>
      </c>
      <c r="F190" s="2">
        <v>0.83333333333333337</v>
      </c>
      <c r="G190">
        <v>0</v>
      </c>
      <c r="H190">
        <v>64</v>
      </c>
      <c r="I190">
        <v>7680</v>
      </c>
      <c r="J190">
        <v>30.27</v>
      </c>
      <c r="K190" t="s">
        <v>395</v>
      </c>
      <c r="L190" t="s">
        <v>37</v>
      </c>
      <c r="M190" t="s">
        <v>28</v>
      </c>
      <c r="N190" t="s">
        <v>29</v>
      </c>
    </row>
    <row r="191" spans="1:14" x14ac:dyDescent="0.3">
      <c r="A191" t="s">
        <v>30</v>
      </c>
      <c r="B191" t="s">
        <v>31</v>
      </c>
      <c r="C191" t="s">
        <v>396</v>
      </c>
      <c r="D191" t="s">
        <v>47</v>
      </c>
      <c r="E191" s="1">
        <v>46199</v>
      </c>
      <c r="F191" s="2">
        <v>0.63541666666666663</v>
      </c>
      <c r="G191">
        <v>15</v>
      </c>
      <c r="H191">
        <v>50</v>
      </c>
      <c r="I191">
        <v>6000</v>
      </c>
      <c r="J191">
        <v>35.549999999999997</v>
      </c>
      <c r="K191" t="s">
        <v>397</v>
      </c>
      <c r="L191" t="s">
        <v>37</v>
      </c>
      <c r="M191" t="s">
        <v>28</v>
      </c>
      <c r="N191" t="s">
        <v>21</v>
      </c>
    </row>
    <row r="192" spans="1:14" x14ac:dyDescent="0.3">
      <c r="A192" t="s">
        <v>40</v>
      </c>
      <c r="B192" t="s">
        <v>41</v>
      </c>
      <c r="C192" t="s">
        <v>398</v>
      </c>
      <c r="D192" t="s">
        <v>25</v>
      </c>
      <c r="E192" s="1">
        <v>46201</v>
      </c>
      <c r="F192" s="2">
        <v>0.77083333333333337</v>
      </c>
      <c r="G192">
        <v>0</v>
      </c>
      <c r="H192">
        <v>48</v>
      </c>
      <c r="I192">
        <v>4800</v>
      </c>
      <c r="J192">
        <v>17.75</v>
      </c>
      <c r="K192" t="s">
        <v>399</v>
      </c>
      <c r="L192" t="s">
        <v>27</v>
      </c>
      <c r="M192" t="s">
        <v>20</v>
      </c>
      <c r="N192" t="s">
        <v>29</v>
      </c>
    </row>
    <row r="193" spans="1:14" x14ac:dyDescent="0.3">
      <c r="A193" t="s">
        <v>22</v>
      </c>
      <c r="B193" t="s">
        <v>23</v>
      </c>
      <c r="C193" t="s">
        <v>400</v>
      </c>
      <c r="D193" t="s">
        <v>25</v>
      </c>
      <c r="E193" s="1">
        <v>46179</v>
      </c>
      <c r="F193" s="2">
        <v>0.63541666666666663</v>
      </c>
      <c r="G193">
        <v>15</v>
      </c>
      <c r="H193">
        <v>22</v>
      </c>
      <c r="I193">
        <v>2640</v>
      </c>
      <c r="J193">
        <v>23.6</v>
      </c>
      <c r="K193" t="s">
        <v>401</v>
      </c>
      <c r="L193" t="s">
        <v>37</v>
      </c>
      <c r="M193" t="s">
        <v>20</v>
      </c>
      <c r="N193" t="s">
        <v>21</v>
      </c>
    </row>
    <row r="194" spans="1:14" x14ac:dyDescent="0.3">
      <c r="A194" t="s">
        <v>14</v>
      </c>
      <c r="B194" t="s">
        <v>15</v>
      </c>
      <c r="C194" t="s">
        <v>402</v>
      </c>
      <c r="D194" t="s">
        <v>33</v>
      </c>
      <c r="E194" s="1">
        <v>46188</v>
      </c>
      <c r="F194" s="2">
        <v>0.80208333333333337</v>
      </c>
      <c r="G194">
        <v>0</v>
      </c>
      <c r="H194">
        <v>73</v>
      </c>
      <c r="I194">
        <v>7300</v>
      </c>
      <c r="J194">
        <v>39.31</v>
      </c>
      <c r="K194" t="s">
        <v>403</v>
      </c>
      <c r="L194" t="s">
        <v>44</v>
      </c>
      <c r="M194" t="s">
        <v>28</v>
      </c>
      <c r="N194" t="s">
        <v>45</v>
      </c>
    </row>
    <row r="195" spans="1:14" x14ac:dyDescent="0.3">
      <c r="A195" t="s">
        <v>40</v>
      </c>
      <c r="B195" t="s">
        <v>41</v>
      </c>
      <c r="C195" t="s">
        <v>404</v>
      </c>
      <c r="D195" t="s">
        <v>17</v>
      </c>
      <c r="E195" s="1">
        <v>46175</v>
      </c>
      <c r="F195" s="2">
        <v>0.36458333333333331</v>
      </c>
      <c r="G195">
        <v>0</v>
      </c>
      <c r="H195">
        <v>20</v>
      </c>
      <c r="I195">
        <v>2000</v>
      </c>
      <c r="J195">
        <v>29.06</v>
      </c>
      <c r="K195" t="s">
        <v>405</v>
      </c>
      <c r="L195" t="s">
        <v>44</v>
      </c>
      <c r="M195" t="s">
        <v>28</v>
      </c>
      <c r="N195" t="s">
        <v>29</v>
      </c>
    </row>
    <row r="196" spans="1:14" x14ac:dyDescent="0.3">
      <c r="A196" t="s">
        <v>14</v>
      </c>
      <c r="B196" t="s">
        <v>15</v>
      </c>
      <c r="C196" t="s">
        <v>406</v>
      </c>
      <c r="D196" t="s">
        <v>33</v>
      </c>
      <c r="E196" s="1">
        <v>46202</v>
      </c>
      <c r="F196" s="2">
        <v>0.53125</v>
      </c>
      <c r="G196">
        <v>0</v>
      </c>
      <c r="H196">
        <v>28</v>
      </c>
      <c r="I196">
        <v>3360</v>
      </c>
      <c r="J196">
        <v>31.62</v>
      </c>
      <c r="K196" t="s">
        <v>407</v>
      </c>
      <c r="L196" t="s">
        <v>27</v>
      </c>
      <c r="M196" t="s">
        <v>28</v>
      </c>
      <c r="N196" t="s">
        <v>45</v>
      </c>
    </row>
    <row r="197" spans="1:14" x14ac:dyDescent="0.3">
      <c r="A197" t="s">
        <v>30</v>
      </c>
      <c r="B197" t="s">
        <v>31</v>
      </c>
      <c r="C197" t="s">
        <v>408</v>
      </c>
      <c r="D197" t="s">
        <v>17</v>
      </c>
      <c r="E197" s="1">
        <v>46176</v>
      </c>
      <c r="F197" s="2">
        <v>0.79166666666666663</v>
      </c>
      <c r="G197">
        <v>0</v>
      </c>
      <c r="H197">
        <v>20</v>
      </c>
      <c r="I197">
        <v>2400</v>
      </c>
      <c r="J197">
        <v>28.27</v>
      </c>
      <c r="K197" t="s">
        <v>409</v>
      </c>
      <c r="L197" t="s">
        <v>37</v>
      </c>
      <c r="M197" t="s">
        <v>28</v>
      </c>
      <c r="N197" t="s">
        <v>29</v>
      </c>
    </row>
    <row r="198" spans="1:14" x14ac:dyDescent="0.3">
      <c r="A198" t="s">
        <v>30</v>
      </c>
      <c r="B198" t="s">
        <v>31</v>
      </c>
      <c r="C198" t="s">
        <v>410</v>
      </c>
      <c r="D198" t="s">
        <v>17</v>
      </c>
      <c r="E198" s="1">
        <v>46190</v>
      </c>
      <c r="F198" s="2">
        <v>0.83333333333333337</v>
      </c>
      <c r="G198">
        <v>0</v>
      </c>
      <c r="H198">
        <v>55</v>
      </c>
      <c r="I198">
        <v>5500</v>
      </c>
      <c r="J198">
        <v>16.8</v>
      </c>
      <c r="K198" t="s">
        <v>411</v>
      </c>
      <c r="L198" t="s">
        <v>37</v>
      </c>
      <c r="M198" t="s">
        <v>28</v>
      </c>
      <c r="N198" t="s">
        <v>29</v>
      </c>
    </row>
    <row r="199" spans="1:14" x14ac:dyDescent="0.3">
      <c r="A199" t="s">
        <v>71</v>
      </c>
      <c r="B199" t="s">
        <v>72</v>
      </c>
      <c r="C199" t="s">
        <v>412</v>
      </c>
      <c r="D199" t="s">
        <v>25</v>
      </c>
      <c r="E199" s="1">
        <v>46198</v>
      </c>
      <c r="F199" s="2">
        <v>0.34375</v>
      </c>
      <c r="G199">
        <v>0</v>
      </c>
      <c r="H199">
        <v>54</v>
      </c>
      <c r="I199">
        <v>5400</v>
      </c>
      <c r="J199">
        <v>20.39</v>
      </c>
      <c r="K199" t="s">
        <v>413</v>
      </c>
      <c r="L199" t="s">
        <v>37</v>
      </c>
      <c r="M199" t="s">
        <v>28</v>
      </c>
      <c r="N199" t="s">
        <v>29</v>
      </c>
    </row>
    <row r="200" spans="1:14" x14ac:dyDescent="0.3">
      <c r="A200" t="s">
        <v>22</v>
      </c>
      <c r="B200" t="s">
        <v>23</v>
      </c>
      <c r="C200" t="s">
        <v>414</v>
      </c>
      <c r="D200" t="s">
        <v>33</v>
      </c>
      <c r="E200" s="1">
        <v>46197</v>
      </c>
      <c r="F200" s="2">
        <v>0.3125</v>
      </c>
      <c r="G200">
        <v>0</v>
      </c>
      <c r="H200">
        <v>10</v>
      </c>
      <c r="I200">
        <v>1200</v>
      </c>
      <c r="J200">
        <v>28.64</v>
      </c>
      <c r="K200" t="s">
        <v>415</v>
      </c>
      <c r="L200" t="s">
        <v>19</v>
      </c>
      <c r="M200" t="s">
        <v>28</v>
      </c>
      <c r="N200" t="s">
        <v>29</v>
      </c>
    </row>
    <row r="201" spans="1:14" x14ac:dyDescent="0.3">
      <c r="A201" t="s">
        <v>14</v>
      </c>
      <c r="B201" t="s">
        <v>15</v>
      </c>
      <c r="C201" t="s">
        <v>416</v>
      </c>
      <c r="D201" t="s">
        <v>33</v>
      </c>
      <c r="E201" s="1">
        <v>46185</v>
      </c>
      <c r="F201" s="2">
        <v>0.82291666666666663</v>
      </c>
      <c r="G201">
        <v>0</v>
      </c>
      <c r="H201">
        <v>49</v>
      </c>
      <c r="I201">
        <v>5880</v>
      </c>
      <c r="J201">
        <v>21.67</v>
      </c>
      <c r="K201" t="s">
        <v>417</v>
      </c>
      <c r="L201" t="s">
        <v>37</v>
      </c>
      <c r="M201" t="s">
        <v>28</v>
      </c>
      <c r="N201" t="s">
        <v>29</v>
      </c>
    </row>
    <row r="202" spans="1:14" x14ac:dyDescent="0.3">
      <c r="A202" t="s">
        <v>40</v>
      </c>
      <c r="B202" t="s">
        <v>41</v>
      </c>
      <c r="C202" t="s">
        <v>418</v>
      </c>
      <c r="D202" t="s">
        <v>17</v>
      </c>
      <c r="E202" s="1">
        <v>46191</v>
      </c>
      <c r="F202" s="2">
        <v>0.625</v>
      </c>
      <c r="G202">
        <v>39</v>
      </c>
      <c r="H202">
        <v>28</v>
      </c>
      <c r="I202">
        <v>2800</v>
      </c>
      <c r="J202">
        <v>16.97</v>
      </c>
      <c r="K202" t="s">
        <v>419</v>
      </c>
      <c r="L202" t="s">
        <v>44</v>
      </c>
      <c r="M202" t="s">
        <v>28</v>
      </c>
      <c r="N202" t="s">
        <v>21</v>
      </c>
    </row>
    <row r="203" spans="1:14" x14ac:dyDescent="0.3">
      <c r="A203" t="s">
        <v>30</v>
      </c>
      <c r="B203" t="s">
        <v>31</v>
      </c>
      <c r="C203" t="s">
        <v>420</v>
      </c>
      <c r="D203" t="s">
        <v>33</v>
      </c>
      <c r="E203" s="1">
        <v>46188</v>
      </c>
      <c r="F203" s="2">
        <v>0.29166666666666669</v>
      </c>
      <c r="G203">
        <v>61</v>
      </c>
      <c r="H203">
        <v>81</v>
      </c>
      <c r="I203">
        <v>8100</v>
      </c>
      <c r="J203">
        <v>40.39</v>
      </c>
      <c r="K203" t="s">
        <v>421</v>
      </c>
      <c r="L203" t="s">
        <v>44</v>
      </c>
      <c r="M203" t="s">
        <v>28</v>
      </c>
      <c r="N203" t="s">
        <v>21</v>
      </c>
    </row>
    <row r="204" spans="1:14" x14ac:dyDescent="0.3">
      <c r="A204" t="s">
        <v>71</v>
      </c>
      <c r="B204" t="s">
        <v>72</v>
      </c>
      <c r="C204" t="s">
        <v>422</v>
      </c>
      <c r="D204" t="s">
        <v>47</v>
      </c>
      <c r="E204" s="1">
        <v>46185</v>
      </c>
      <c r="F204" s="2">
        <v>0.28125</v>
      </c>
      <c r="G204">
        <v>0</v>
      </c>
      <c r="H204">
        <v>81</v>
      </c>
      <c r="I204">
        <v>8100</v>
      </c>
      <c r="J204">
        <v>44.45</v>
      </c>
      <c r="K204" t="s">
        <v>423</v>
      </c>
      <c r="L204" t="s">
        <v>19</v>
      </c>
      <c r="M204" t="s">
        <v>28</v>
      </c>
      <c r="N204" t="s">
        <v>29</v>
      </c>
    </row>
    <row r="205" spans="1:14" x14ac:dyDescent="0.3">
      <c r="A205" t="s">
        <v>71</v>
      </c>
      <c r="B205" t="s">
        <v>72</v>
      </c>
      <c r="C205" t="s">
        <v>424</v>
      </c>
      <c r="D205" t="s">
        <v>47</v>
      </c>
      <c r="E205" s="1">
        <v>46189</v>
      </c>
      <c r="F205" s="2">
        <v>0.79166666666666663</v>
      </c>
      <c r="G205">
        <v>0</v>
      </c>
      <c r="H205">
        <v>70</v>
      </c>
      <c r="I205">
        <v>5600</v>
      </c>
      <c r="J205">
        <v>38.9</v>
      </c>
      <c r="K205" t="s">
        <v>425</v>
      </c>
      <c r="L205" t="s">
        <v>19</v>
      </c>
      <c r="M205" t="s">
        <v>28</v>
      </c>
      <c r="N205" t="s">
        <v>29</v>
      </c>
    </row>
    <row r="206" spans="1:14" x14ac:dyDescent="0.3">
      <c r="A206" t="s">
        <v>14</v>
      </c>
      <c r="B206" t="s">
        <v>15</v>
      </c>
      <c r="C206" t="s">
        <v>426</v>
      </c>
      <c r="D206" t="s">
        <v>33</v>
      </c>
      <c r="E206" s="1">
        <v>46200</v>
      </c>
      <c r="F206" s="2">
        <v>0.82291666666666663</v>
      </c>
      <c r="G206">
        <v>61</v>
      </c>
      <c r="H206">
        <v>21</v>
      </c>
      <c r="I206">
        <v>2100</v>
      </c>
      <c r="J206">
        <v>40.69</v>
      </c>
      <c r="K206" t="s">
        <v>427</v>
      </c>
      <c r="L206" t="s">
        <v>37</v>
      </c>
      <c r="M206" t="s">
        <v>20</v>
      </c>
      <c r="N206" t="s">
        <v>21</v>
      </c>
    </row>
    <row r="207" spans="1:14" x14ac:dyDescent="0.3">
      <c r="A207" t="s">
        <v>30</v>
      </c>
      <c r="B207" t="s">
        <v>31</v>
      </c>
      <c r="C207" t="s">
        <v>428</v>
      </c>
      <c r="D207" t="s">
        <v>33</v>
      </c>
      <c r="E207" s="1">
        <v>46181</v>
      </c>
      <c r="F207" s="2">
        <v>0.79166666666666663</v>
      </c>
      <c r="G207">
        <v>0</v>
      </c>
      <c r="H207">
        <v>70</v>
      </c>
      <c r="I207">
        <v>5600</v>
      </c>
      <c r="J207">
        <v>22.64</v>
      </c>
      <c r="K207" t="s">
        <v>429</v>
      </c>
      <c r="L207" t="s">
        <v>27</v>
      </c>
      <c r="M207" t="s">
        <v>28</v>
      </c>
      <c r="N207" t="s">
        <v>29</v>
      </c>
    </row>
    <row r="208" spans="1:14" x14ac:dyDescent="0.3">
      <c r="A208" t="s">
        <v>22</v>
      </c>
      <c r="B208" t="s">
        <v>23</v>
      </c>
      <c r="C208" t="s">
        <v>430</v>
      </c>
      <c r="D208" t="s">
        <v>17</v>
      </c>
      <c r="E208" s="1">
        <v>46201</v>
      </c>
      <c r="F208" s="2">
        <v>0.35416666666666669</v>
      </c>
      <c r="G208">
        <v>0</v>
      </c>
      <c r="H208">
        <v>42</v>
      </c>
      <c r="I208">
        <v>5040</v>
      </c>
      <c r="J208">
        <v>43.84</v>
      </c>
      <c r="K208" t="s">
        <v>431</v>
      </c>
      <c r="L208" t="s">
        <v>19</v>
      </c>
      <c r="M208" t="s">
        <v>20</v>
      </c>
      <c r="N208" t="s">
        <v>29</v>
      </c>
    </row>
    <row r="209" spans="1:14" x14ac:dyDescent="0.3">
      <c r="A209" t="s">
        <v>30</v>
      </c>
      <c r="B209" t="s">
        <v>31</v>
      </c>
      <c r="C209" t="s">
        <v>432</v>
      </c>
      <c r="D209" t="s">
        <v>47</v>
      </c>
      <c r="E209" s="1">
        <v>46187</v>
      </c>
      <c r="F209" s="2">
        <v>0.59375</v>
      </c>
      <c r="G209">
        <v>0</v>
      </c>
      <c r="H209">
        <v>54</v>
      </c>
      <c r="I209">
        <v>6480</v>
      </c>
      <c r="J209">
        <v>21.31</v>
      </c>
      <c r="K209" t="s">
        <v>433</v>
      </c>
      <c r="L209" t="s">
        <v>19</v>
      </c>
      <c r="M209" t="s">
        <v>20</v>
      </c>
      <c r="N209" t="s">
        <v>29</v>
      </c>
    </row>
    <row r="210" spans="1:14" x14ac:dyDescent="0.3">
      <c r="A210" t="s">
        <v>14</v>
      </c>
      <c r="B210" t="s">
        <v>15</v>
      </c>
      <c r="C210" t="s">
        <v>434</v>
      </c>
      <c r="D210" t="s">
        <v>47</v>
      </c>
      <c r="E210" s="1">
        <v>46198</v>
      </c>
      <c r="F210" s="2">
        <v>0.75</v>
      </c>
      <c r="G210">
        <v>13</v>
      </c>
      <c r="H210">
        <v>78</v>
      </c>
      <c r="I210">
        <v>7800</v>
      </c>
      <c r="J210">
        <v>43.57</v>
      </c>
      <c r="K210" t="s">
        <v>435</v>
      </c>
      <c r="L210" t="s">
        <v>37</v>
      </c>
      <c r="M210" t="s">
        <v>28</v>
      </c>
      <c r="N210" t="s">
        <v>21</v>
      </c>
    </row>
    <row r="211" spans="1:14" x14ac:dyDescent="0.3">
      <c r="A211" t="s">
        <v>14</v>
      </c>
      <c r="B211" t="s">
        <v>15</v>
      </c>
      <c r="C211" t="s">
        <v>436</v>
      </c>
      <c r="D211" t="s">
        <v>25</v>
      </c>
      <c r="E211" s="1">
        <v>46190</v>
      </c>
      <c r="F211" s="2">
        <v>0.32291666666666669</v>
      </c>
      <c r="G211">
        <v>0</v>
      </c>
      <c r="H211">
        <v>17</v>
      </c>
      <c r="I211">
        <v>2040</v>
      </c>
      <c r="J211">
        <v>44.85</v>
      </c>
      <c r="K211" t="s">
        <v>437</v>
      </c>
      <c r="L211" t="s">
        <v>37</v>
      </c>
      <c r="M211" t="s">
        <v>28</v>
      </c>
      <c r="N211" t="s">
        <v>29</v>
      </c>
    </row>
    <row r="212" spans="1:14" x14ac:dyDescent="0.3">
      <c r="A212" t="s">
        <v>30</v>
      </c>
      <c r="B212" t="s">
        <v>31</v>
      </c>
      <c r="C212" t="s">
        <v>438</v>
      </c>
      <c r="D212" t="s">
        <v>17</v>
      </c>
      <c r="E212" s="1">
        <v>46202</v>
      </c>
      <c r="F212" s="2">
        <v>0.32291666666666669</v>
      </c>
      <c r="G212">
        <v>0</v>
      </c>
      <c r="H212">
        <v>34</v>
      </c>
      <c r="I212">
        <v>4080</v>
      </c>
      <c r="J212">
        <v>36.5</v>
      </c>
      <c r="K212" t="s">
        <v>439</v>
      </c>
      <c r="L212" t="s">
        <v>19</v>
      </c>
      <c r="M212" t="s">
        <v>28</v>
      </c>
      <c r="N212" t="s">
        <v>29</v>
      </c>
    </row>
    <row r="213" spans="1:14" x14ac:dyDescent="0.3">
      <c r="A213" t="s">
        <v>14</v>
      </c>
      <c r="B213" t="s">
        <v>15</v>
      </c>
      <c r="C213" t="s">
        <v>440</v>
      </c>
      <c r="D213" t="s">
        <v>25</v>
      </c>
      <c r="E213" s="1">
        <v>46194</v>
      </c>
      <c r="F213" s="2">
        <v>0.86458333333333337</v>
      </c>
      <c r="G213">
        <v>0</v>
      </c>
      <c r="H213">
        <v>55</v>
      </c>
      <c r="I213">
        <v>6600</v>
      </c>
      <c r="J213">
        <v>31.34</v>
      </c>
      <c r="K213" t="s">
        <v>441</v>
      </c>
      <c r="L213" t="s">
        <v>27</v>
      </c>
      <c r="M213" t="s">
        <v>20</v>
      </c>
      <c r="N213" t="s">
        <v>29</v>
      </c>
    </row>
    <row r="214" spans="1:14" x14ac:dyDescent="0.3">
      <c r="A214" t="s">
        <v>30</v>
      </c>
      <c r="B214" t="s">
        <v>31</v>
      </c>
      <c r="C214" t="s">
        <v>442</v>
      </c>
      <c r="D214" t="s">
        <v>47</v>
      </c>
      <c r="E214" s="1">
        <v>46181</v>
      </c>
      <c r="F214" s="2">
        <v>0.78125</v>
      </c>
      <c r="G214">
        <v>0</v>
      </c>
      <c r="H214">
        <v>39</v>
      </c>
      <c r="I214">
        <v>4680</v>
      </c>
      <c r="J214">
        <v>32.299999999999997</v>
      </c>
      <c r="K214" t="s">
        <v>443</v>
      </c>
      <c r="L214" t="s">
        <v>19</v>
      </c>
      <c r="M214" t="s">
        <v>28</v>
      </c>
      <c r="N214" t="s">
        <v>29</v>
      </c>
    </row>
    <row r="215" spans="1:14" x14ac:dyDescent="0.3">
      <c r="A215" t="s">
        <v>40</v>
      </c>
      <c r="B215" t="s">
        <v>41</v>
      </c>
      <c r="C215" t="s">
        <v>444</v>
      </c>
      <c r="D215" t="s">
        <v>17</v>
      </c>
      <c r="E215" s="1">
        <v>46188</v>
      </c>
      <c r="F215" s="2">
        <v>0.73958333333333337</v>
      </c>
      <c r="G215">
        <v>35</v>
      </c>
      <c r="H215">
        <v>56</v>
      </c>
      <c r="I215">
        <v>4480</v>
      </c>
      <c r="J215">
        <v>23.16</v>
      </c>
      <c r="K215" t="s">
        <v>445</v>
      </c>
      <c r="L215" t="s">
        <v>37</v>
      </c>
      <c r="M215" t="s">
        <v>28</v>
      </c>
      <c r="N215" t="s">
        <v>21</v>
      </c>
    </row>
    <row r="216" spans="1:14" x14ac:dyDescent="0.3">
      <c r="A216" t="s">
        <v>30</v>
      </c>
      <c r="B216" t="s">
        <v>31</v>
      </c>
      <c r="C216" t="s">
        <v>446</v>
      </c>
      <c r="D216" t="s">
        <v>33</v>
      </c>
      <c r="E216" s="1">
        <v>46200</v>
      </c>
      <c r="F216" s="2">
        <v>0.77083333333333337</v>
      </c>
      <c r="G216">
        <v>0</v>
      </c>
      <c r="H216">
        <v>58</v>
      </c>
      <c r="I216">
        <v>4640</v>
      </c>
      <c r="J216">
        <v>28.39</v>
      </c>
      <c r="K216" t="s">
        <v>128</v>
      </c>
      <c r="L216" t="s">
        <v>37</v>
      </c>
      <c r="M216" t="s">
        <v>20</v>
      </c>
      <c r="N216" t="s">
        <v>29</v>
      </c>
    </row>
    <row r="217" spans="1:14" x14ac:dyDescent="0.3">
      <c r="A217" t="s">
        <v>30</v>
      </c>
      <c r="B217" t="s">
        <v>31</v>
      </c>
      <c r="C217" t="s">
        <v>447</v>
      </c>
      <c r="D217" t="s">
        <v>17</v>
      </c>
      <c r="E217" s="1">
        <v>46187</v>
      </c>
      <c r="F217" s="2">
        <v>0.82291666666666663</v>
      </c>
      <c r="G217">
        <v>0</v>
      </c>
      <c r="H217">
        <v>56</v>
      </c>
      <c r="I217">
        <v>5600</v>
      </c>
      <c r="J217">
        <v>33.01</v>
      </c>
      <c r="K217" t="s">
        <v>239</v>
      </c>
      <c r="L217" t="s">
        <v>19</v>
      </c>
      <c r="M217" t="s">
        <v>20</v>
      </c>
      <c r="N217" t="s">
        <v>29</v>
      </c>
    </row>
    <row r="218" spans="1:14" x14ac:dyDescent="0.3">
      <c r="A218" t="s">
        <v>14</v>
      </c>
      <c r="B218" t="s">
        <v>15</v>
      </c>
      <c r="C218" t="s">
        <v>448</v>
      </c>
      <c r="D218" t="s">
        <v>33</v>
      </c>
      <c r="E218" s="1">
        <v>46191</v>
      </c>
      <c r="F218" s="2">
        <v>0.48958333333333331</v>
      </c>
      <c r="G218">
        <v>25</v>
      </c>
      <c r="H218">
        <v>27</v>
      </c>
      <c r="I218">
        <v>2700</v>
      </c>
      <c r="J218">
        <v>17.66</v>
      </c>
      <c r="K218" t="s">
        <v>449</v>
      </c>
      <c r="L218" t="s">
        <v>27</v>
      </c>
      <c r="M218" t="s">
        <v>28</v>
      </c>
      <c r="N218" t="s">
        <v>21</v>
      </c>
    </row>
    <row r="219" spans="1:14" x14ac:dyDescent="0.3">
      <c r="A219" t="s">
        <v>14</v>
      </c>
      <c r="B219" t="s">
        <v>15</v>
      </c>
      <c r="C219" t="s">
        <v>450</v>
      </c>
      <c r="D219" t="s">
        <v>33</v>
      </c>
      <c r="E219" s="1">
        <v>46193</v>
      </c>
      <c r="F219" s="2">
        <v>0.67708333333333337</v>
      </c>
      <c r="G219">
        <v>0</v>
      </c>
      <c r="H219">
        <v>75</v>
      </c>
      <c r="I219">
        <v>7500</v>
      </c>
      <c r="J219">
        <v>33.86</v>
      </c>
      <c r="K219" t="s">
        <v>451</v>
      </c>
      <c r="L219" t="s">
        <v>19</v>
      </c>
      <c r="M219" t="s">
        <v>20</v>
      </c>
      <c r="N219" t="s">
        <v>29</v>
      </c>
    </row>
    <row r="220" spans="1:14" x14ac:dyDescent="0.3">
      <c r="A220" t="s">
        <v>71</v>
      </c>
      <c r="B220" t="s">
        <v>72</v>
      </c>
      <c r="C220" t="s">
        <v>452</v>
      </c>
      <c r="D220" t="s">
        <v>17</v>
      </c>
      <c r="E220" s="1">
        <v>46180</v>
      </c>
      <c r="F220" s="2">
        <v>0.32291666666666669</v>
      </c>
      <c r="G220">
        <v>0</v>
      </c>
      <c r="H220">
        <v>77</v>
      </c>
      <c r="I220">
        <v>9240</v>
      </c>
      <c r="J220">
        <v>44.44</v>
      </c>
      <c r="K220" t="s">
        <v>397</v>
      </c>
      <c r="L220" t="s">
        <v>19</v>
      </c>
      <c r="M220" t="s">
        <v>20</v>
      </c>
      <c r="N220" t="s">
        <v>29</v>
      </c>
    </row>
    <row r="221" spans="1:14" x14ac:dyDescent="0.3">
      <c r="A221" t="s">
        <v>71</v>
      </c>
      <c r="B221" t="s">
        <v>72</v>
      </c>
      <c r="C221" t="s">
        <v>453</v>
      </c>
      <c r="D221" t="s">
        <v>33</v>
      </c>
      <c r="E221" s="1">
        <v>46176</v>
      </c>
      <c r="F221" s="2">
        <v>0.4375</v>
      </c>
      <c r="G221">
        <v>0</v>
      </c>
      <c r="H221">
        <v>42</v>
      </c>
      <c r="I221">
        <v>5040</v>
      </c>
      <c r="J221">
        <v>21.11</v>
      </c>
      <c r="K221" t="s">
        <v>175</v>
      </c>
      <c r="L221" t="s">
        <v>37</v>
      </c>
      <c r="M221" t="s">
        <v>28</v>
      </c>
      <c r="N221" t="s">
        <v>29</v>
      </c>
    </row>
    <row r="222" spans="1:14" x14ac:dyDescent="0.3">
      <c r="A222" t="s">
        <v>40</v>
      </c>
      <c r="B222" t="s">
        <v>41</v>
      </c>
      <c r="C222" t="s">
        <v>454</v>
      </c>
      <c r="D222" t="s">
        <v>25</v>
      </c>
      <c r="E222" s="1">
        <v>46202</v>
      </c>
      <c r="F222" s="2">
        <v>0.30208333333333331</v>
      </c>
      <c r="G222">
        <v>14</v>
      </c>
      <c r="H222">
        <v>45</v>
      </c>
      <c r="I222">
        <v>3600</v>
      </c>
      <c r="J222">
        <v>38.880000000000003</v>
      </c>
      <c r="K222" t="s">
        <v>455</v>
      </c>
      <c r="L222" t="s">
        <v>27</v>
      </c>
      <c r="M222" t="s">
        <v>28</v>
      </c>
      <c r="N222" t="s">
        <v>21</v>
      </c>
    </row>
    <row r="223" spans="1:14" x14ac:dyDescent="0.3">
      <c r="A223" t="s">
        <v>71</v>
      </c>
      <c r="B223" t="s">
        <v>72</v>
      </c>
      <c r="C223" t="s">
        <v>456</v>
      </c>
      <c r="D223" t="s">
        <v>47</v>
      </c>
      <c r="E223" s="1">
        <v>46185</v>
      </c>
      <c r="F223" s="2">
        <v>0.30208333333333331</v>
      </c>
      <c r="G223">
        <v>0</v>
      </c>
      <c r="H223">
        <v>28</v>
      </c>
      <c r="I223">
        <v>2240</v>
      </c>
      <c r="J223">
        <v>42.28</v>
      </c>
      <c r="K223" t="s">
        <v>457</v>
      </c>
      <c r="L223" t="s">
        <v>44</v>
      </c>
      <c r="M223" t="s">
        <v>28</v>
      </c>
      <c r="N223" t="s">
        <v>45</v>
      </c>
    </row>
    <row r="224" spans="1:14" x14ac:dyDescent="0.3">
      <c r="A224" t="s">
        <v>30</v>
      </c>
      <c r="B224" t="s">
        <v>31</v>
      </c>
      <c r="C224" t="s">
        <v>270</v>
      </c>
      <c r="D224" t="s">
        <v>33</v>
      </c>
      <c r="E224" s="1">
        <v>46194</v>
      </c>
      <c r="F224" s="2">
        <v>0.67708333333333337</v>
      </c>
      <c r="G224">
        <v>0</v>
      </c>
      <c r="H224">
        <v>37</v>
      </c>
      <c r="I224">
        <v>3700</v>
      </c>
      <c r="J224">
        <v>43.34</v>
      </c>
      <c r="K224" t="s">
        <v>458</v>
      </c>
      <c r="L224" t="s">
        <v>27</v>
      </c>
      <c r="M224" t="s">
        <v>20</v>
      </c>
      <c r="N224" t="s">
        <v>29</v>
      </c>
    </row>
    <row r="225" spans="1:14" x14ac:dyDescent="0.3">
      <c r="A225" t="s">
        <v>14</v>
      </c>
      <c r="B225" t="s">
        <v>15</v>
      </c>
      <c r="C225" t="s">
        <v>459</v>
      </c>
      <c r="D225" t="s">
        <v>25</v>
      </c>
      <c r="E225" s="1">
        <v>46197</v>
      </c>
      <c r="F225" s="2">
        <v>0.83333333333333337</v>
      </c>
      <c r="G225">
        <v>29</v>
      </c>
      <c r="H225">
        <v>49</v>
      </c>
      <c r="I225">
        <v>3920</v>
      </c>
      <c r="J225">
        <v>43.82</v>
      </c>
      <c r="K225" t="s">
        <v>460</v>
      </c>
      <c r="L225" t="s">
        <v>19</v>
      </c>
      <c r="M225" t="s">
        <v>28</v>
      </c>
      <c r="N225" t="s">
        <v>21</v>
      </c>
    </row>
    <row r="226" spans="1:14" x14ac:dyDescent="0.3">
      <c r="A226" t="s">
        <v>71</v>
      </c>
      <c r="B226" t="s">
        <v>72</v>
      </c>
      <c r="C226" t="s">
        <v>461</v>
      </c>
      <c r="D226" t="s">
        <v>33</v>
      </c>
      <c r="E226" s="1">
        <v>46201</v>
      </c>
      <c r="F226" s="2">
        <v>0.60416666666666663</v>
      </c>
      <c r="G226">
        <v>0</v>
      </c>
      <c r="H226">
        <v>24</v>
      </c>
      <c r="I226">
        <v>1920</v>
      </c>
      <c r="J226">
        <v>30.88</v>
      </c>
      <c r="K226" t="s">
        <v>462</v>
      </c>
      <c r="L226" t="s">
        <v>19</v>
      </c>
      <c r="M226" t="s">
        <v>20</v>
      </c>
      <c r="N226" t="s">
        <v>29</v>
      </c>
    </row>
    <row r="227" spans="1:14" x14ac:dyDescent="0.3">
      <c r="A227" t="s">
        <v>71</v>
      </c>
      <c r="B227" t="s">
        <v>72</v>
      </c>
      <c r="C227" t="s">
        <v>463</v>
      </c>
      <c r="D227" t="s">
        <v>47</v>
      </c>
      <c r="E227" s="1">
        <v>46199</v>
      </c>
      <c r="F227" s="2">
        <v>0.61458333333333337</v>
      </c>
      <c r="G227">
        <v>0</v>
      </c>
      <c r="H227">
        <v>50</v>
      </c>
      <c r="I227">
        <v>4000</v>
      </c>
      <c r="J227">
        <v>44.33</v>
      </c>
      <c r="K227" t="s">
        <v>134</v>
      </c>
      <c r="L227" t="s">
        <v>19</v>
      </c>
      <c r="M227" t="s">
        <v>28</v>
      </c>
      <c r="N227" t="s">
        <v>29</v>
      </c>
    </row>
    <row r="228" spans="1:14" x14ac:dyDescent="0.3">
      <c r="A228" t="s">
        <v>40</v>
      </c>
      <c r="B228" t="s">
        <v>41</v>
      </c>
      <c r="C228" t="s">
        <v>464</v>
      </c>
      <c r="D228" t="s">
        <v>25</v>
      </c>
      <c r="E228" s="1">
        <v>46176</v>
      </c>
      <c r="F228" s="2">
        <v>0.8125</v>
      </c>
      <c r="G228">
        <v>56</v>
      </c>
      <c r="H228">
        <v>48</v>
      </c>
      <c r="I228">
        <v>3840</v>
      </c>
      <c r="J228">
        <v>37.840000000000003</v>
      </c>
      <c r="K228" t="s">
        <v>465</v>
      </c>
      <c r="L228" t="s">
        <v>27</v>
      </c>
      <c r="M228" t="s">
        <v>28</v>
      </c>
      <c r="N228" t="s">
        <v>21</v>
      </c>
    </row>
    <row r="229" spans="1:14" x14ac:dyDescent="0.3">
      <c r="A229" t="s">
        <v>40</v>
      </c>
      <c r="B229" t="s">
        <v>41</v>
      </c>
      <c r="C229" t="s">
        <v>466</v>
      </c>
      <c r="D229" t="s">
        <v>47</v>
      </c>
      <c r="E229" s="1">
        <v>46193</v>
      </c>
      <c r="F229" s="2">
        <v>0.53125</v>
      </c>
      <c r="G229">
        <v>11</v>
      </c>
      <c r="H229">
        <v>11</v>
      </c>
      <c r="I229">
        <v>880</v>
      </c>
      <c r="J229">
        <v>20.27</v>
      </c>
      <c r="K229" t="s">
        <v>467</v>
      </c>
      <c r="L229" t="s">
        <v>37</v>
      </c>
      <c r="M229" t="s">
        <v>20</v>
      </c>
      <c r="N229" t="s">
        <v>21</v>
      </c>
    </row>
    <row r="230" spans="1:14" x14ac:dyDescent="0.3">
      <c r="A230" t="s">
        <v>30</v>
      </c>
      <c r="B230" t="s">
        <v>31</v>
      </c>
      <c r="C230" t="s">
        <v>468</v>
      </c>
      <c r="D230" t="s">
        <v>47</v>
      </c>
      <c r="E230" s="1">
        <v>46187</v>
      </c>
      <c r="F230" s="2">
        <v>0.90625</v>
      </c>
      <c r="G230">
        <v>0</v>
      </c>
      <c r="H230">
        <v>72</v>
      </c>
      <c r="I230">
        <v>7200</v>
      </c>
      <c r="J230">
        <v>29.57</v>
      </c>
      <c r="K230" t="s">
        <v>469</v>
      </c>
      <c r="L230" t="s">
        <v>19</v>
      </c>
      <c r="M230" t="s">
        <v>20</v>
      </c>
      <c r="N230" t="s">
        <v>29</v>
      </c>
    </row>
    <row r="231" spans="1:14" x14ac:dyDescent="0.3">
      <c r="A231" t="s">
        <v>14</v>
      </c>
      <c r="B231" t="s">
        <v>15</v>
      </c>
      <c r="C231" t="s">
        <v>470</v>
      </c>
      <c r="D231" t="s">
        <v>25</v>
      </c>
      <c r="E231" s="1">
        <v>46188</v>
      </c>
      <c r="F231" s="2">
        <v>0.28125</v>
      </c>
      <c r="G231">
        <v>22</v>
      </c>
      <c r="H231">
        <v>38</v>
      </c>
      <c r="I231">
        <v>3800</v>
      </c>
      <c r="J231">
        <v>36.69</v>
      </c>
      <c r="K231" t="s">
        <v>471</v>
      </c>
      <c r="L231" t="s">
        <v>19</v>
      </c>
      <c r="M231" t="s">
        <v>28</v>
      </c>
      <c r="N231" t="s">
        <v>21</v>
      </c>
    </row>
    <row r="232" spans="1:14" x14ac:dyDescent="0.3">
      <c r="A232" t="s">
        <v>40</v>
      </c>
      <c r="B232" t="s">
        <v>41</v>
      </c>
      <c r="C232" t="s">
        <v>472</v>
      </c>
      <c r="D232" t="s">
        <v>25</v>
      </c>
      <c r="E232" s="1">
        <v>46198</v>
      </c>
      <c r="F232" s="2">
        <v>0.39583333333333331</v>
      </c>
      <c r="G232">
        <v>0</v>
      </c>
      <c r="H232">
        <v>83</v>
      </c>
      <c r="I232">
        <v>6640</v>
      </c>
      <c r="J232">
        <v>22.8</v>
      </c>
      <c r="K232" t="s">
        <v>473</v>
      </c>
      <c r="L232" t="s">
        <v>27</v>
      </c>
      <c r="M232" t="s">
        <v>28</v>
      </c>
      <c r="N232" t="s">
        <v>45</v>
      </c>
    </row>
    <row r="233" spans="1:14" x14ac:dyDescent="0.3">
      <c r="A233" t="s">
        <v>71</v>
      </c>
      <c r="B233" t="s">
        <v>72</v>
      </c>
      <c r="C233" t="s">
        <v>474</v>
      </c>
      <c r="D233" t="s">
        <v>25</v>
      </c>
      <c r="E233" s="1">
        <v>46203</v>
      </c>
      <c r="F233" s="2">
        <v>0.54166666666666663</v>
      </c>
      <c r="G233">
        <v>0</v>
      </c>
      <c r="H233">
        <v>75</v>
      </c>
      <c r="I233">
        <v>7500</v>
      </c>
      <c r="J233">
        <v>34.4</v>
      </c>
      <c r="K233" t="s">
        <v>475</v>
      </c>
      <c r="L233" t="s">
        <v>44</v>
      </c>
      <c r="M233" t="s">
        <v>28</v>
      </c>
      <c r="N233" t="s">
        <v>21</v>
      </c>
    </row>
    <row r="234" spans="1:14" x14ac:dyDescent="0.3">
      <c r="A234" t="s">
        <v>14</v>
      </c>
      <c r="B234" t="s">
        <v>15</v>
      </c>
      <c r="C234" t="s">
        <v>476</v>
      </c>
      <c r="D234" t="s">
        <v>17</v>
      </c>
      <c r="E234" s="1">
        <v>46187</v>
      </c>
      <c r="F234" s="2">
        <v>0.4375</v>
      </c>
      <c r="G234">
        <v>54</v>
      </c>
      <c r="H234">
        <v>60</v>
      </c>
      <c r="I234">
        <v>7200</v>
      </c>
      <c r="J234">
        <v>35.159999999999997</v>
      </c>
      <c r="K234" t="s">
        <v>477</v>
      </c>
      <c r="L234" t="s">
        <v>44</v>
      </c>
      <c r="M234" t="s">
        <v>20</v>
      </c>
      <c r="N234" t="s">
        <v>21</v>
      </c>
    </row>
    <row r="235" spans="1:14" x14ac:dyDescent="0.3">
      <c r="A235" t="s">
        <v>14</v>
      </c>
      <c r="B235" t="s">
        <v>15</v>
      </c>
      <c r="C235" t="s">
        <v>478</v>
      </c>
      <c r="D235" t="s">
        <v>25</v>
      </c>
      <c r="E235" s="1">
        <v>46180</v>
      </c>
      <c r="F235" s="2">
        <v>0.40625</v>
      </c>
      <c r="G235">
        <v>0</v>
      </c>
      <c r="H235">
        <v>84</v>
      </c>
      <c r="I235">
        <v>6720</v>
      </c>
      <c r="J235">
        <v>20.3</v>
      </c>
      <c r="K235" t="s">
        <v>479</v>
      </c>
      <c r="L235" t="s">
        <v>37</v>
      </c>
      <c r="M235" t="s">
        <v>20</v>
      </c>
      <c r="N235" t="s">
        <v>21</v>
      </c>
    </row>
    <row r="236" spans="1:14" x14ac:dyDescent="0.3">
      <c r="A236" t="s">
        <v>71</v>
      </c>
      <c r="B236" t="s">
        <v>72</v>
      </c>
      <c r="C236" t="s">
        <v>181</v>
      </c>
      <c r="D236" t="s">
        <v>25</v>
      </c>
      <c r="E236" s="1">
        <v>46190</v>
      </c>
      <c r="F236" s="2">
        <v>0.47916666666666669</v>
      </c>
      <c r="G236">
        <v>0</v>
      </c>
      <c r="H236">
        <v>19</v>
      </c>
      <c r="I236">
        <v>2280</v>
      </c>
      <c r="J236">
        <v>32.17</v>
      </c>
      <c r="K236" t="s">
        <v>431</v>
      </c>
      <c r="L236" t="s">
        <v>37</v>
      </c>
      <c r="M236" t="s">
        <v>28</v>
      </c>
      <c r="N236" t="s">
        <v>45</v>
      </c>
    </row>
    <row r="237" spans="1:14" x14ac:dyDescent="0.3">
      <c r="A237" t="s">
        <v>40</v>
      </c>
      <c r="B237" t="s">
        <v>41</v>
      </c>
      <c r="C237" t="s">
        <v>480</v>
      </c>
      <c r="D237" t="s">
        <v>25</v>
      </c>
      <c r="E237" s="1">
        <v>46203</v>
      </c>
      <c r="F237" s="2">
        <v>0.44791666666666669</v>
      </c>
      <c r="G237">
        <v>0</v>
      </c>
      <c r="H237">
        <v>23</v>
      </c>
      <c r="I237">
        <v>2300</v>
      </c>
      <c r="J237">
        <v>38.26</v>
      </c>
      <c r="K237" t="s">
        <v>481</v>
      </c>
      <c r="L237" t="s">
        <v>19</v>
      </c>
      <c r="M237" t="s">
        <v>28</v>
      </c>
      <c r="N237" t="s">
        <v>29</v>
      </c>
    </row>
    <row r="238" spans="1:14" x14ac:dyDescent="0.3">
      <c r="A238" t="s">
        <v>71</v>
      </c>
      <c r="B238" t="s">
        <v>72</v>
      </c>
      <c r="C238" t="s">
        <v>482</v>
      </c>
      <c r="D238" t="s">
        <v>25</v>
      </c>
      <c r="E238" s="1">
        <v>46185</v>
      </c>
      <c r="F238" s="2">
        <v>0.35416666666666669</v>
      </c>
      <c r="G238">
        <v>0</v>
      </c>
      <c r="H238">
        <v>60</v>
      </c>
      <c r="I238">
        <v>6000</v>
      </c>
      <c r="J238">
        <v>30.22</v>
      </c>
      <c r="K238" t="s">
        <v>449</v>
      </c>
      <c r="L238" t="s">
        <v>27</v>
      </c>
      <c r="M238" t="s">
        <v>28</v>
      </c>
      <c r="N238" t="s">
        <v>29</v>
      </c>
    </row>
    <row r="239" spans="1:14" x14ac:dyDescent="0.3">
      <c r="A239" t="s">
        <v>14</v>
      </c>
      <c r="B239" t="s">
        <v>15</v>
      </c>
      <c r="C239" t="s">
        <v>483</v>
      </c>
      <c r="D239" t="s">
        <v>33</v>
      </c>
      <c r="E239" s="1">
        <v>46193</v>
      </c>
      <c r="F239" s="2">
        <v>0.8125</v>
      </c>
      <c r="G239">
        <v>0</v>
      </c>
      <c r="H239">
        <v>82</v>
      </c>
      <c r="I239">
        <v>9840</v>
      </c>
      <c r="J239">
        <v>15.86</v>
      </c>
      <c r="K239" t="s">
        <v>39</v>
      </c>
      <c r="L239" t="s">
        <v>19</v>
      </c>
      <c r="M239" t="s">
        <v>20</v>
      </c>
      <c r="N239" t="s">
        <v>29</v>
      </c>
    </row>
    <row r="240" spans="1:14" x14ac:dyDescent="0.3">
      <c r="A240" t="s">
        <v>22</v>
      </c>
      <c r="B240" t="s">
        <v>23</v>
      </c>
      <c r="C240" t="s">
        <v>484</v>
      </c>
      <c r="D240" t="s">
        <v>17</v>
      </c>
      <c r="E240" s="1">
        <v>46177</v>
      </c>
      <c r="F240" s="2">
        <v>0.41666666666666669</v>
      </c>
      <c r="G240">
        <v>0</v>
      </c>
      <c r="H240">
        <v>48</v>
      </c>
      <c r="I240">
        <v>4800</v>
      </c>
      <c r="J240">
        <v>15.77</v>
      </c>
      <c r="K240" t="s">
        <v>485</v>
      </c>
      <c r="L240" t="s">
        <v>37</v>
      </c>
      <c r="M240" t="s">
        <v>28</v>
      </c>
      <c r="N240" t="s">
        <v>45</v>
      </c>
    </row>
    <row r="241" spans="1:14" x14ac:dyDescent="0.3">
      <c r="A241" t="s">
        <v>22</v>
      </c>
      <c r="B241" t="s">
        <v>23</v>
      </c>
      <c r="C241" t="s">
        <v>486</v>
      </c>
      <c r="D241" t="s">
        <v>47</v>
      </c>
      <c r="E241" s="1">
        <v>46182</v>
      </c>
      <c r="F241" s="2">
        <v>0.42708333333333331</v>
      </c>
      <c r="G241">
        <v>55</v>
      </c>
      <c r="H241">
        <v>37</v>
      </c>
      <c r="I241">
        <v>2960</v>
      </c>
      <c r="J241">
        <v>26.03</v>
      </c>
      <c r="K241" t="s">
        <v>487</v>
      </c>
      <c r="L241" t="s">
        <v>27</v>
      </c>
      <c r="M241" t="s">
        <v>28</v>
      </c>
      <c r="N241" t="s">
        <v>21</v>
      </c>
    </row>
    <row r="242" spans="1:14" x14ac:dyDescent="0.3">
      <c r="A242" t="s">
        <v>30</v>
      </c>
      <c r="B242" t="s">
        <v>31</v>
      </c>
      <c r="C242" t="s">
        <v>488</v>
      </c>
      <c r="D242" t="s">
        <v>25</v>
      </c>
      <c r="E242" s="1">
        <v>46179</v>
      </c>
      <c r="F242" s="2">
        <v>0.30208333333333331</v>
      </c>
      <c r="G242">
        <v>18</v>
      </c>
      <c r="H242">
        <v>12</v>
      </c>
      <c r="I242">
        <v>1440</v>
      </c>
      <c r="J242">
        <v>42.82</v>
      </c>
      <c r="K242" t="s">
        <v>489</v>
      </c>
      <c r="L242" t="s">
        <v>27</v>
      </c>
      <c r="M242" t="s">
        <v>20</v>
      </c>
      <c r="N242" t="s">
        <v>21</v>
      </c>
    </row>
    <row r="243" spans="1:14" x14ac:dyDescent="0.3">
      <c r="A243" t="s">
        <v>71</v>
      </c>
      <c r="B243" t="s">
        <v>72</v>
      </c>
      <c r="C243" t="s">
        <v>490</v>
      </c>
      <c r="D243" t="s">
        <v>33</v>
      </c>
      <c r="E243" s="1">
        <v>46189</v>
      </c>
      <c r="F243" s="2">
        <v>0.47916666666666669</v>
      </c>
      <c r="G243">
        <v>0</v>
      </c>
      <c r="H243">
        <v>79</v>
      </c>
      <c r="I243">
        <v>6320</v>
      </c>
      <c r="J243">
        <v>22.25</v>
      </c>
      <c r="K243" t="s">
        <v>491</v>
      </c>
      <c r="L243" t="s">
        <v>37</v>
      </c>
      <c r="M243" t="s">
        <v>28</v>
      </c>
      <c r="N243" t="s">
        <v>45</v>
      </c>
    </row>
    <row r="244" spans="1:14" x14ac:dyDescent="0.3">
      <c r="A244" t="s">
        <v>71</v>
      </c>
      <c r="B244" t="s">
        <v>72</v>
      </c>
      <c r="C244" t="s">
        <v>492</v>
      </c>
      <c r="D244" t="s">
        <v>33</v>
      </c>
      <c r="E244" s="1">
        <v>46198</v>
      </c>
      <c r="F244" s="2">
        <v>0.64583333333333337</v>
      </c>
      <c r="G244">
        <v>62</v>
      </c>
      <c r="H244">
        <v>36</v>
      </c>
      <c r="I244">
        <v>4320</v>
      </c>
      <c r="J244">
        <v>34.21</v>
      </c>
      <c r="K244" t="s">
        <v>493</v>
      </c>
      <c r="L244" t="s">
        <v>44</v>
      </c>
      <c r="M244" t="s">
        <v>28</v>
      </c>
      <c r="N244" t="s">
        <v>21</v>
      </c>
    </row>
    <row r="245" spans="1:14" x14ac:dyDescent="0.3">
      <c r="A245" t="s">
        <v>30</v>
      </c>
      <c r="B245" t="s">
        <v>31</v>
      </c>
      <c r="C245" t="s">
        <v>494</v>
      </c>
      <c r="D245" t="s">
        <v>33</v>
      </c>
      <c r="E245" s="1">
        <v>46201</v>
      </c>
      <c r="F245" s="2">
        <v>0.5</v>
      </c>
      <c r="G245">
        <v>0</v>
      </c>
      <c r="H245">
        <v>11</v>
      </c>
      <c r="I245">
        <v>1100</v>
      </c>
      <c r="J245">
        <v>22.05</v>
      </c>
      <c r="K245" t="s">
        <v>495</v>
      </c>
      <c r="L245" t="s">
        <v>44</v>
      </c>
      <c r="M245" t="s">
        <v>20</v>
      </c>
      <c r="N245" t="s">
        <v>29</v>
      </c>
    </row>
    <row r="246" spans="1:14" x14ac:dyDescent="0.3">
      <c r="A246" t="s">
        <v>30</v>
      </c>
      <c r="B246" t="s">
        <v>31</v>
      </c>
      <c r="C246" t="s">
        <v>496</v>
      </c>
      <c r="D246" t="s">
        <v>47</v>
      </c>
      <c r="E246" s="1">
        <v>46195</v>
      </c>
      <c r="F246" s="2">
        <v>0.25</v>
      </c>
      <c r="G246">
        <v>44</v>
      </c>
      <c r="H246">
        <v>47</v>
      </c>
      <c r="I246">
        <v>5640</v>
      </c>
      <c r="J246">
        <v>24.99</v>
      </c>
      <c r="K246" t="s">
        <v>212</v>
      </c>
      <c r="L246" t="s">
        <v>27</v>
      </c>
      <c r="M246" t="s">
        <v>28</v>
      </c>
      <c r="N246" t="s">
        <v>21</v>
      </c>
    </row>
    <row r="247" spans="1:14" x14ac:dyDescent="0.3">
      <c r="A247" t="s">
        <v>30</v>
      </c>
      <c r="B247" t="s">
        <v>31</v>
      </c>
      <c r="C247" t="s">
        <v>497</v>
      </c>
      <c r="D247" t="s">
        <v>25</v>
      </c>
      <c r="E247" s="1">
        <v>46195</v>
      </c>
      <c r="F247" s="2">
        <v>0.75</v>
      </c>
      <c r="G247">
        <v>46</v>
      </c>
      <c r="H247">
        <v>12</v>
      </c>
      <c r="I247">
        <v>1440</v>
      </c>
      <c r="J247">
        <v>40.520000000000003</v>
      </c>
      <c r="K247" t="s">
        <v>178</v>
      </c>
      <c r="L247" t="s">
        <v>19</v>
      </c>
      <c r="M247" t="s">
        <v>28</v>
      </c>
      <c r="N247" t="s">
        <v>21</v>
      </c>
    </row>
    <row r="248" spans="1:14" x14ac:dyDescent="0.3">
      <c r="A248" t="s">
        <v>14</v>
      </c>
      <c r="B248" t="s">
        <v>15</v>
      </c>
      <c r="C248" t="s">
        <v>498</v>
      </c>
      <c r="D248" t="s">
        <v>17</v>
      </c>
      <c r="E248" s="1">
        <v>46194</v>
      </c>
      <c r="F248" s="2">
        <v>0.41666666666666669</v>
      </c>
      <c r="G248">
        <v>0</v>
      </c>
      <c r="H248">
        <v>25</v>
      </c>
      <c r="I248">
        <v>2000</v>
      </c>
      <c r="J248">
        <v>37</v>
      </c>
      <c r="K248" t="s">
        <v>371</v>
      </c>
      <c r="L248" t="s">
        <v>44</v>
      </c>
      <c r="M248" t="s">
        <v>20</v>
      </c>
      <c r="N248" t="s">
        <v>45</v>
      </c>
    </row>
    <row r="249" spans="1:14" x14ac:dyDescent="0.3">
      <c r="A249" t="s">
        <v>71</v>
      </c>
      <c r="B249" t="s">
        <v>72</v>
      </c>
      <c r="C249" t="s">
        <v>499</v>
      </c>
      <c r="D249" t="s">
        <v>17</v>
      </c>
      <c r="E249" s="1">
        <v>46194</v>
      </c>
      <c r="F249" s="2">
        <v>0.375</v>
      </c>
      <c r="G249">
        <v>0</v>
      </c>
      <c r="H249">
        <v>49</v>
      </c>
      <c r="I249">
        <v>4900</v>
      </c>
      <c r="J249">
        <v>18.309999999999999</v>
      </c>
      <c r="K249" t="s">
        <v>500</v>
      </c>
      <c r="L249" t="s">
        <v>19</v>
      </c>
      <c r="M249" t="s">
        <v>20</v>
      </c>
      <c r="N249" t="s">
        <v>45</v>
      </c>
    </row>
    <row r="250" spans="1:14" x14ac:dyDescent="0.3">
      <c r="A250" t="s">
        <v>14</v>
      </c>
      <c r="B250" t="s">
        <v>15</v>
      </c>
      <c r="C250" t="s">
        <v>501</v>
      </c>
      <c r="D250" t="s">
        <v>33</v>
      </c>
      <c r="E250" s="1">
        <v>46175</v>
      </c>
      <c r="F250" s="2">
        <v>0.33333333333333331</v>
      </c>
      <c r="G250">
        <v>45</v>
      </c>
      <c r="H250">
        <v>11</v>
      </c>
      <c r="I250">
        <v>880</v>
      </c>
      <c r="J250">
        <v>28.15</v>
      </c>
      <c r="K250" t="s">
        <v>451</v>
      </c>
      <c r="L250" t="s">
        <v>44</v>
      </c>
      <c r="M250" t="s">
        <v>28</v>
      </c>
      <c r="N250" t="s">
        <v>21</v>
      </c>
    </row>
    <row r="251" spans="1:14" x14ac:dyDescent="0.3">
      <c r="A251" t="s">
        <v>30</v>
      </c>
      <c r="B251" t="s">
        <v>31</v>
      </c>
      <c r="C251" t="s">
        <v>502</v>
      </c>
      <c r="D251" t="s">
        <v>47</v>
      </c>
      <c r="E251" s="1">
        <v>46197</v>
      </c>
      <c r="F251" s="2">
        <v>0.6875</v>
      </c>
      <c r="G251">
        <v>22</v>
      </c>
      <c r="H251">
        <v>50</v>
      </c>
      <c r="I251">
        <v>5000</v>
      </c>
      <c r="J251">
        <v>16.36</v>
      </c>
      <c r="K251" t="s">
        <v>503</v>
      </c>
      <c r="L251" t="s">
        <v>44</v>
      </c>
      <c r="M251" t="s">
        <v>28</v>
      </c>
      <c r="N251" t="s">
        <v>21</v>
      </c>
    </row>
    <row r="252" spans="1:14" x14ac:dyDescent="0.3">
      <c r="A252" t="s">
        <v>71</v>
      </c>
      <c r="B252" t="s">
        <v>72</v>
      </c>
      <c r="C252" t="s">
        <v>504</v>
      </c>
      <c r="D252" t="s">
        <v>47</v>
      </c>
      <c r="E252" s="1">
        <v>46181</v>
      </c>
      <c r="F252" s="2">
        <v>0.38541666666666669</v>
      </c>
      <c r="G252">
        <v>0</v>
      </c>
      <c r="H252">
        <v>21</v>
      </c>
      <c r="I252">
        <v>1680</v>
      </c>
      <c r="J252">
        <v>29.69</v>
      </c>
      <c r="K252" t="s">
        <v>505</v>
      </c>
      <c r="L252" t="s">
        <v>19</v>
      </c>
      <c r="M252" t="s">
        <v>28</v>
      </c>
      <c r="N252" t="s">
        <v>45</v>
      </c>
    </row>
    <row r="253" spans="1:14" x14ac:dyDescent="0.3">
      <c r="A253" t="s">
        <v>14</v>
      </c>
      <c r="B253" t="s">
        <v>15</v>
      </c>
      <c r="C253" t="s">
        <v>506</v>
      </c>
      <c r="D253" t="s">
        <v>47</v>
      </c>
      <c r="E253" s="1">
        <v>46184</v>
      </c>
      <c r="F253" s="2">
        <v>0.90625</v>
      </c>
      <c r="G253">
        <v>0</v>
      </c>
      <c r="H253">
        <v>44</v>
      </c>
      <c r="I253">
        <v>5280</v>
      </c>
      <c r="J253">
        <v>35.04</v>
      </c>
      <c r="K253" t="s">
        <v>507</v>
      </c>
      <c r="L253" t="s">
        <v>37</v>
      </c>
      <c r="M253" t="s">
        <v>28</v>
      </c>
      <c r="N253" t="s">
        <v>29</v>
      </c>
    </row>
    <row r="254" spans="1:14" x14ac:dyDescent="0.3">
      <c r="A254" t="s">
        <v>14</v>
      </c>
      <c r="B254" t="s">
        <v>15</v>
      </c>
      <c r="C254" t="s">
        <v>508</v>
      </c>
      <c r="D254" t="s">
        <v>17</v>
      </c>
      <c r="E254" s="1">
        <v>46186</v>
      </c>
      <c r="F254" s="2">
        <v>0.5625</v>
      </c>
      <c r="G254">
        <v>0</v>
      </c>
      <c r="H254">
        <v>74</v>
      </c>
      <c r="I254">
        <v>5920</v>
      </c>
      <c r="J254">
        <v>19</v>
      </c>
      <c r="K254" t="s">
        <v>509</v>
      </c>
      <c r="L254" t="s">
        <v>44</v>
      </c>
      <c r="M254" t="s">
        <v>20</v>
      </c>
      <c r="N254" t="s">
        <v>29</v>
      </c>
    </row>
    <row r="255" spans="1:14" x14ac:dyDescent="0.3">
      <c r="A255" t="s">
        <v>30</v>
      </c>
      <c r="B255" t="s">
        <v>31</v>
      </c>
      <c r="C255" t="s">
        <v>510</v>
      </c>
      <c r="D255" t="s">
        <v>33</v>
      </c>
      <c r="E255" s="1">
        <v>46190</v>
      </c>
      <c r="F255" s="2">
        <v>0.58333333333333337</v>
      </c>
      <c r="G255">
        <v>0</v>
      </c>
      <c r="H255">
        <v>64</v>
      </c>
      <c r="I255">
        <v>6400</v>
      </c>
      <c r="J255">
        <v>24.02</v>
      </c>
      <c r="K255" t="s">
        <v>500</v>
      </c>
      <c r="L255" t="s">
        <v>44</v>
      </c>
      <c r="M255" t="s">
        <v>28</v>
      </c>
      <c r="N255" t="s">
        <v>29</v>
      </c>
    </row>
    <row r="256" spans="1:14" x14ac:dyDescent="0.3">
      <c r="A256" t="s">
        <v>71</v>
      </c>
      <c r="B256" t="s">
        <v>72</v>
      </c>
      <c r="C256" t="s">
        <v>511</v>
      </c>
      <c r="D256" t="s">
        <v>25</v>
      </c>
      <c r="E256" s="1">
        <v>46181</v>
      </c>
      <c r="F256" s="2">
        <v>0.46875</v>
      </c>
      <c r="G256">
        <v>61</v>
      </c>
      <c r="H256">
        <v>54</v>
      </c>
      <c r="I256">
        <v>5400</v>
      </c>
      <c r="J256">
        <v>27.24</v>
      </c>
      <c r="K256" t="s">
        <v>512</v>
      </c>
      <c r="L256" t="s">
        <v>19</v>
      </c>
      <c r="M256" t="s">
        <v>28</v>
      </c>
      <c r="N256" t="s">
        <v>21</v>
      </c>
    </row>
    <row r="257" spans="1:14" x14ac:dyDescent="0.3">
      <c r="A257" t="s">
        <v>30</v>
      </c>
      <c r="B257" t="s">
        <v>31</v>
      </c>
      <c r="C257" t="s">
        <v>513</v>
      </c>
      <c r="D257" t="s">
        <v>17</v>
      </c>
      <c r="E257" s="1">
        <v>46194</v>
      </c>
      <c r="F257" s="2">
        <v>0.625</v>
      </c>
      <c r="G257">
        <v>16</v>
      </c>
      <c r="H257">
        <v>71</v>
      </c>
      <c r="I257">
        <v>8520</v>
      </c>
      <c r="J257">
        <v>42.63</v>
      </c>
      <c r="K257" t="s">
        <v>514</v>
      </c>
      <c r="L257" t="s">
        <v>37</v>
      </c>
      <c r="M257" t="s">
        <v>20</v>
      </c>
      <c r="N257" t="s">
        <v>21</v>
      </c>
    </row>
    <row r="258" spans="1:14" x14ac:dyDescent="0.3">
      <c r="A258" t="s">
        <v>71</v>
      </c>
      <c r="B258" t="s">
        <v>72</v>
      </c>
      <c r="C258" t="s">
        <v>515</v>
      </c>
      <c r="D258" t="s">
        <v>33</v>
      </c>
      <c r="E258" s="1">
        <v>46191</v>
      </c>
      <c r="F258" s="2">
        <v>0.91666666666666663</v>
      </c>
      <c r="G258">
        <v>0</v>
      </c>
      <c r="H258">
        <v>58</v>
      </c>
      <c r="I258">
        <v>5800</v>
      </c>
      <c r="J258">
        <v>44.8</v>
      </c>
      <c r="K258" t="s">
        <v>460</v>
      </c>
      <c r="L258" t="s">
        <v>44</v>
      </c>
      <c r="M258" t="s">
        <v>28</v>
      </c>
      <c r="N258" t="s">
        <v>29</v>
      </c>
    </row>
    <row r="259" spans="1:14" x14ac:dyDescent="0.3">
      <c r="A259" t="s">
        <v>22</v>
      </c>
      <c r="B259" t="s">
        <v>23</v>
      </c>
      <c r="C259" t="s">
        <v>516</v>
      </c>
      <c r="D259" t="s">
        <v>33</v>
      </c>
      <c r="E259" s="1">
        <v>46203</v>
      </c>
      <c r="F259" s="2">
        <v>0.94791666666666663</v>
      </c>
      <c r="G259">
        <v>63</v>
      </c>
      <c r="H259">
        <v>34</v>
      </c>
      <c r="I259">
        <v>2720</v>
      </c>
      <c r="J259">
        <v>16.82</v>
      </c>
      <c r="K259" t="s">
        <v>517</v>
      </c>
      <c r="L259" t="s">
        <v>44</v>
      </c>
      <c r="M259" t="s">
        <v>28</v>
      </c>
      <c r="N259" t="s">
        <v>21</v>
      </c>
    </row>
    <row r="260" spans="1:14" x14ac:dyDescent="0.3">
      <c r="A260" t="s">
        <v>40</v>
      </c>
      <c r="B260" t="s">
        <v>41</v>
      </c>
      <c r="C260" t="s">
        <v>518</v>
      </c>
      <c r="D260" t="s">
        <v>25</v>
      </c>
      <c r="E260" s="1">
        <v>46191</v>
      </c>
      <c r="F260" s="2">
        <v>0.58333333333333337</v>
      </c>
      <c r="G260">
        <v>0</v>
      </c>
      <c r="H260">
        <v>32</v>
      </c>
      <c r="I260">
        <v>3840</v>
      </c>
      <c r="J260">
        <v>37.950000000000003</v>
      </c>
      <c r="K260" t="s">
        <v>449</v>
      </c>
      <c r="L260" t="s">
        <v>37</v>
      </c>
      <c r="M260" t="s">
        <v>28</v>
      </c>
      <c r="N260" t="s">
        <v>45</v>
      </c>
    </row>
    <row r="261" spans="1:14" x14ac:dyDescent="0.3">
      <c r="A261" t="s">
        <v>40</v>
      </c>
      <c r="B261" t="s">
        <v>41</v>
      </c>
      <c r="C261" t="s">
        <v>156</v>
      </c>
      <c r="D261" t="s">
        <v>25</v>
      </c>
      <c r="E261" s="1">
        <v>46187</v>
      </c>
      <c r="F261" s="2">
        <v>0.26041666666666669</v>
      </c>
      <c r="G261">
        <v>0</v>
      </c>
      <c r="H261">
        <v>33</v>
      </c>
      <c r="I261">
        <v>3300</v>
      </c>
      <c r="J261">
        <v>26.47</v>
      </c>
      <c r="K261" t="s">
        <v>519</v>
      </c>
      <c r="L261" t="s">
        <v>44</v>
      </c>
      <c r="M261" t="s">
        <v>20</v>
      </c>
      <c r="N261" t="s">
        <v>29</v>
      </c>
    </row>
    <row r="262" spans="1:14" x14ac:dyDescent="0.3">
      <c r="A262" t="s">
        <v>40</v>
      </c>
      <c r="B262" t="s">
        <v>41</v>
      </c>
      <c r="C262" t="s">
        <v>520</v>
      </c>
      <c r="D262" t="s">
        <v>25</v>
      </c>
      <c r="E262" s="1">
        <v>46188</v>
      </c>
      <c r="F262" s="2">
        <v>0.875</v>
      </c>
      <c r="G262">
        <v>49</v>
      </c>
      <c r="H262">
        <v>47</v>
      </c>
      <c r="I262">
        <v>4700</v>
      </c>
      <c r="J262">
        <v>27.08</v>
      </c>
      <c r="K262" t="s">
        <v>521</v>
      </c>
      <c r="L262" t="s">
        <v>37</v>
      </c>
      <c r="M262" t="s">
        <v>28</v>
      </c>
      <c r="N262" t="s">
        <v>21</v>
      </c>
    </row>
    <row r="263" spans="1:14" x14ac:dyDescent="0.3">
      <c r="A263" t="s">
        <v>30</v>
      </c>
      <c r="B263" t="s">
        <v>31</v>
      </c>
      <c r="C263" t="s">
        <v>522</v>
      </c>
      <c r="D263" t="s">
        <v>47</v>
      </c>
      <c r="E263" s="1">
        <v>46179</v>
      </c>
      <c r="F263" s="2">
        <v>0.26041666666666669</v>
      </c>
      <c r="G263">
        <v>0</v>
      </c>
      <c r="H263">
        <v>37</v>
      </c>
      <c r="I263">
        <v>2960</v>
      </c>
      <c r="J263">
        <v>37.75</v>
      </c>
      <c r="K263" t="s">
        <v>409</v>
      </c>
      <c r="L263" t="s">
        <v>37</v>
      </c>
      <c r="M263" t="s">
        <v>20</v>
      </c>
      <c r="N263" t="s">
        <v>29</v>
      </c>
    </row>
    <row r="264" spans="1:14" x14ac:dyDescent="0.3">
      <c r="A264" t="s">
        <v>22</v>
      </c>
      <c r="B264" t="s">
        <v>23</v>
      </c>
      <c r="C264" t="s">
        <v>523</v>
      </c>
      <c r="D264" t="s">
        <v>25</v>
      </c>
      <c r="E264" s="1">
        <v>46184</v>
      </c>
      <c r="F264" s="2">
        <v>0.54166666666666663</v>
      </c>
      <c r="G264">
        <v>0</v>
      </c>
      <c r="H264">
        <v>30</v>
      </c>
      <c r="I264">
        <v>2400</v>
      </c>
      <c r="J264">
        <v>42.59</v>
      </c>
      <c r="K264" t="s">
        <v>249</v>
      </c>
      <c r="L264" t="s">
        <v>19</v>
      </c>
      <c r="M264" t="s">
        <v>28</v>
      </c>
      <c r="N264" t="s">
        <v>45</v>
      </c>
    </row>
    <row r="265" spans="1:14" x14ac:dyDescent="0.3">
      <c r="A265" t="s">
        <v>71</v>
      </c>
      <c r="B265" t="s">
        <v>72</v>
      </c>
      <c r="C265" t="s">
        <v>370</v>
      </c>
      <c r="D265" t="s">
        <v>33</v>
      </c>
      <c r="E265" s="1">
        <v>46186</v>
      </c>
      <c r="F265" s="2">
        <v>0.6875</v>
      </c>
      <c r="G265">
        <v>32</v>
      </c>
      <c r="H265">
        <v>63</v>
      </c>
      <c r="I265">
        <v>7560</v>
      </c>
      <c r="J265">
        <v>43.55</v>
      </c>
      <c r="K265" t="s">
        <v>524</v>
      </c>
      <c r="L265" t="s">
        <v>27</v>
      </c>
      <c r="M265" t="s">
        <v>20</v>
      </c>
      <c r="N265" t="s">
        <v>21</v>
      </c>
    </row>
    <row r="266" spans="1:14" x14ac:dyDescent="0.3">
      <c r="A266" t="s">
        <v>14</v>
      </c>
      <c r="B266" t="s">
        <v>15</v>
      </c>
      <c r="C266" t="s">
        <v>525</v>
      </c>
      <c r="D266" t="s">
        <v>25</v>
      </c>
      <c r="E266" s="1">
        <v>46198</v>
      </c>
      <c r="F266" s="2">
        <v>0.32291666666666669</v>
      </c>
      <c r="G266">
        <v>0</v>
      </c>
      <c r="H266">
        <v>27</v>
      </c>
      <c r="I266">
        <v>2700</v>
      </c>
      <c r="J266">
        <v>32.53</v>
      </c>
      <c r="K266" t="s">
        <v>526</v>
      </c>
      <c r="L266" t="s">
        <v>37</v>
      </c>
      <c r="M266" t="s">
        <v>28</v>
      </c>
      <c r="N266" t="s">
        <v>45</v>
      </c>
    </row>
    <row r="267" spans="1:14" x14ac:dyDescent="0.3">
      <c r="A267" t="s">
        <v>71</v>
      </c>
      <c r="B267" t="s">
        <v>72</v>
      </c>
      <c r="C267" t="s">
        <v>426</v>
      </c>
      <c r="D267" t="s">
        <v>33</v>
      </c>
      <c r="E267" s="1">
        <v>46174</v>
      </c>
      <c r="F267" s="2">
        <v>0.54166666666666663</v>
      </c>
      <c r="G267">
        <v>0</v>
      </c>
      <c r="H267">
        <v>45</v>
      </c>
      <c r="I267">
        <v>3600</v>
      </c>
      <c r="J267">
        <v>26.04</v>
      </c>
      <c r="K267" t="s">
        <v>527</v>
      </c>
      <c r="L267" t="s">
        <v>19</v>
      </c>
      <c r="M267" t="s">
        <v>28</v>
      </c>
      <c r="N267" t="s">
        <v>45</v>
      </c>
    </row>
    <row r="268" spans="1:14" x14ac:dyDescent="0.3">
      <c r="A268" t="s">
        <v>14</v>
      </c>
      <c r="B268" t="s">
        <v>15</v>
      </c>
      <c r="C268" t="s">
        <v>528</v>
      </c>
      <c r="D268" t="s">
        <v>17</v>
      </c>
      <c r="E268" s="1">
        <v>46201</v>
      </c>
      <c r="F268" s="2">
        <v>0.83333333333333337</v>
      </c>
      <c r="G268">
        <v>0</v>
      </c>
      <c r="H268">
        <v>54</v>
      </c>
      <c r="I268">
        <v>6480</v>
      </c>
      <c r="J268">
        <v>38.729999999999997</v>
      </c>
      <c r="K268" t="s">
        <v>529</v>
      </c>
      <c r="L268" t="s">
        <v>27</v>
      </c>
      <c r="M268" t="s">
        <v>20</v>
      </c>
      <c r="N268" t="s">
        <v>29</v>
      </c>
    </row>
    <row r="269" spans="1:14" x14ac:dyDescent="0.3">
      <c r="A269" t="s">
        <v>71</v>
      </c>
      <c r="B269" t="s">
        <v>72</v>
      </c>
      <c r="C269" t="s">
        <v>530</v>
      </c>
      <c r="D269" t="s">
        <v>47</v>
      </c>
      <c r="E269" s="1">
        <v>46179</v>
      </c>
      <c r="F269" s="2">
        <v>0.77083333333333337</v>
      </c>
      <c r="G269">
        <v>60</v>
      </c>
      <c r="H269">
        <v>82</v>
      </c>
      <c r="I269">
        <v>8200</v>
      </c>
      <c r="J269">
        <v>22.9</v>
      </c>
      <c r="K269" t="s">
        <v>531</v>
      </c>
      <c r="L269" t="s">
        <v>44</v>
      </c>
      <c r="M269" t="s">
        <v>20</v>
      </c>
      <c r="N269" t="s">
        <v>21</v>
      </c>
    </row>
    <row r="270" spans="1:14" x14ac:dyDescent="0.3">
      <c r="A270" t="s">
        <v>22</v>
      </c>
      <c r="B270" t="s">
        <v>23</v>
      </c>
      <c r="C270" t="s">
        <v>532</v>
      </c>
      <c r="D270" t="s">
        <v>17</v>
      </c>
      <c r="E270" s="1">
        <v>46182</v>
      </c>
      <c r="F270" s="2">
        <v>0.44791666666666669</v>
      </c>
      <c r="G270">
        <v>0</v>
      </c>
      <c r="H270">
        <v>62</v>
      </c>
      <c r="I270">
        <v>6200</v>
      </c>
      <c r="J270">
        <v>32.195</v>
      </c>
      <c r="K270" t="s">
        <v>186</v>
      </c>
      <c r="L270" t="s">
        <v>27</v>
      </c>
      <c r="M270" t="s">
        <v>28</v>
      </c>
      <c r="N270" t="s">
        <v>45</v>
      </c>
    </row>
    <row r="271" spans="1:14" x14ac:dyDescent="0.3">
      <c r="A271" t="s">
        <v>14</v>
      </c>
      <c r="B271" t="s">
        <v>15</v>
      </c>
      <c r="C271" t="s">
        <v>133</v>
      </c>
      <c r="D271" t="s">
        <v>17</v>
      </c>
      <c r="E271" s="1">
        <v>46181</v>
      </c>
      <c r="F271" s="2">
        <v>0.70833333333333337</v>
      </c>
      <c r="G271">
        <v>0</v>
      </c>
      <c r="H271">
        <v>39</v>
      </c>
      <c r="I271">
        <v>4680</v>
      </c>
      <c r="J271">
        <v>26.08</v>
      </c>
      <c r="K271" t="s">
        <v>533</v>
      </c>
      <c r="L271" t="s">
        <v>37</v>
      </c>
      <c r="M271" t="s">
        <v>28</v>
      </c>
      <c r="N271" t="s">
        <v>29</v>
      </c>
    </row>
    <row r="272" spans="1:14" x14ac:dyDescent="0.3">
      <c r="A272" t="s">
        <v>30</v>
      </c>
      <c r="B272" t="s">
        <v>31</v>
      </c>
      <c r="C272" t="s">
        <v>46</v>
      </c>
      <c r="D272" t="s">
        <v>33</v>
      </c>
      <c r="E272" s="1">
        <v>46184</v>
      </c>
      <c r="F272" s="2">
        <v>0.44791666666666669</v>
      </c>
      <c r="G272">
        <v>40</v>
      </c>
      <c r="H272">
        <v>69</v>
      </c>
      <c r="I272">
        <v>8280</v>
      </c>
      <c r="J272">
        <v>34.869999999999997</v>
      </c>
      <c r="K272" t="s">
        <v>332</v>
      </c>
      <c r="L272" t="s">
        <v>37</v>
      </c>
      <c r="M272" t="s">
        <v>28</v>
      </c>
      <c r="N272" t="s">
        <v>21</v>
      </c>
    </row>
    <row r="273" spans="1:14" x14ac:dyDescent="0.3">
      <c r="A273" t="s">
        <v>71</v>
      </c>
      <c r="B273" t="s">
        <v>72</v>
      </c>
      <c r="C273" t="s">
        <v>534</v>
      </c>
      <c r="D273" t="s">
        <v>17</v>
      </c>
      <c r="E273" s="1">
        <v>46195</v>
      </c>
      <c r="F273" s="2">
        <v>0.78125</v>
      </c>
      <c r="G273">
        <v>34</v>
      </c>
      <c r="H273">
        <v>41</v>
      </c>
      <c r="I273">
        <v>3280</v>
      </c>
      <c r="J273">
        <v>22.59</v>
      </c>
      <c r="K273" t="s">
        <v>535</v>
      </c>
      <c r="L273" t="s">
        <v>37</v>
      </c>
      <c r="M273" t="s">
        <v>28</v>
      </c>
      <c r="N273" t="s">
        <v>21</v>
      </c>
    </row>
    <row r="274" spans="1:14" x14ac:dyDescent="0.3">
      <c r="A274" t="s">
        <v>71</v>
      </c>
      <c r="B274" t="s">
        <v>72</v>
      </c>
      <c r="C274" t="s">
        <v>536</v>
      </c>
      <c r="D274" t="s">
        <v>33</v>
      </c>
      <c r="E274" s="1">
        <v>46192</v>
      </c>
      <c r="F274" s="2">
        <v>0.66666666666666663</v>
      </c>
      <c r="G274">
        <v>40</v>
      </c>
      <c r="H274">
        <v>76</v>
      </c>
      <c r="I274">
        <v>7600</v>
      </c>
      <c r="J274">
        <v>21.15</v>
      </c>
      <c r="K274" t="s">
        <v>537</v>
      </c>
      <c r="L274" t="s">
        <v>37</v>
      </c>
      <c r="M274" t="s">
        <v>28</v>
      </c>
      <c r="N274" t="s">
        <v>21</v>
      </c>
    </row>
    <row r="275" spans="1:14" x14ac:dyDescent="0.3">
      <c r="A275" t="s">
        <v>14</v>
      </c>
      <c r="B275" t="s">
        <v>15</v>
      </c>
      <c r="C275" t="s">
        <v>538</v>
      </c>
      <c r="D275" t="s">
        <v>25</v>
      </c>
      <c r="E275" s="1">
        <v>46197</v>
      </c>
      <c r="F275" s="2">
        <v>0.77083333333333337</v>
      </c>
      <c r="G275">
        <v>0</v>
      </c>
      <c r="H275">
        <v>76</v>
      </c>
      <c r="I275">
        <v>7600</v>
      </c>
      <c r="J275">
        <v>31.34</v>
      </c>
      <c r="K275" t="s">
        <v>539</v>
      </c>
      <c r="L275" t="s">
        <v>37</v>
      </c>
      <c r="M275" t="s">
        <v>28</v>
      </c>
      <c r="N275" t="s">
        <v>29</v>
      </c>
    </row>
    <row r="276" spans="1:14" x14ac:dyDescent="0.3">
      <c r="A276" t="s">
        <v>30</v>
      </c>
      <c r="B276" t="s">
        <v>31</v>
      </c>
      <c r="C276" t="s">
        <v>540</v>
      </c>
      <c r="D276" t="s">
        <v>25</v>
      </c>
      <c r="E276" s="1">
        <v>46182</v>
      </c>
      <c r="F276" s="2">
        <v>0.36458333333333331</v>
      </c>
      <c r="G276">
        <v>0</v>
      </c>
      <c r="H276">
        <v>37</v>
      </c>
      <c r="I276">
        <v>3700</v>
      </c>
      <c r="J276">
        <v>18.5</v>
      </c>
      <c r="K276" t="s">
        <v>541</v>
      </c>
      <c r="L276" t="s">
        <v>19</v>
      </c>
      <c r="M276" t="s">
        <v>28</v>
      </c>
      <c r="N276" t="s">
        <v>29</v>
      </c>
    </row>
    <row r="277" spans="1:14" x14ac:dyDescent="0.3">
      <c r="A277" t="s">
        <v>30</v>
      </c>
      <c r="B277" t="s">
        <v>31</v>
      </c>
      <c r="C277" t="s">
        <v>542</v>
      </c>
      <c r="D277" t="s">
        <v>33</v>
      </c>
      <c r="E277" s="1">
        <v>46190</v>
      </c>
      <c r="F277" s="2">
        <v>0.91666666666666663</v>
      </c>
      <c r="G277">
        <v>0</v>
      </c>
      <c r="H277">
        <v>53</v>
      </c>
      <c r="I277">
        <v>6360</v>
      </c>
      <c r="J277">
        <v>30.43</v>
      </c>
      <c r="K277" t="s">
        <v>543</v>
      </c>
      <c r="L277" t="s">
        <v>37</v>
      </c>
      <c r="M277" t="s">
        <v>28</v>
      </c>
      <c r="N277" t="s">
        <v>21</v>
      </c>
    </row>
    <row r="278" spans="1:14" x14ac:dyDescent="0.3">
      <c r="A278" t="s">
        <v>22</v>
      </c>
      <c r="B278" t="s">
        <v>23</v>
      </c>
      <c r="C278" t="s">
        <v>544</v>
      </c>
      <c r="D278" t="s">
        <v>25</v>
      </c>
      <c r="E278" s="1">
        <v>46185</v>
      </c>
      <c r="F278" s="2">
        <v>0.55208333333333337</v>
      </c>
      <c r="G278">
        <v>0</v>
      </c>
      <c r="H278">
        <v>50</v>
      </c>
      <c r="I278">
        <v>4000</v>
      </c>
      <c r="J278">
        <v>22.02</v>
      </c>
      <c r="K278" t="s">
        <v>545</v>
      </c>
      <c r="L278" t="s">
        <v>19</v>
      </c>
      <c r="M278" t="s">
        <v>28</v>
      </c>
      <c r="N278" t="s">
        <v>45</v>
      </c>
    </row>
    <row r="279" spans="1:14" x14ac:dyDescent="0.3">
      <c r="A279" t="s">
        <v>30</v>
      </c>
      <c r="B279" t="s">
        <v>31</v>
      </c>
      <c r="C279" t="s">
        <v>546</v>
      </c>
      <c r="D279" t="s">
        <v>47</v>
      </c>
      <c r="E279" s="1">
        <v>46198</v>
      </c>
      <c r="F279" s="2">
        <v>0.82291666666666663</v>
      </c>
      <c r="G279">
        <v>26</v>
      </c>
      <c r="H279">
        <v>72</v>
      </c>
      <c r="I279">
        <v>7200</v>
      </c>
      <c r="J279">
        <v>16.649999999999999</v>
      </c>
      <c r="K279" t="s">
        <v>547</v>
      </c>
      <c r="L279" t="s">
        <v>44</v>
      </c>
      <c r="M279" t="s">
        <v>28</v>
      </c>
      <c r="N279" t="s">
        <v>21</v>
      </c>
    </row>
    <row r="280" spans="1:14" x14ac:dyDescent="0.3">
      <c r="A280" t="s">
        <v>30</v>
      </c>
      <c r="B280" t="s">
        <v>31</v>
      </c>
      <c r="C280" t="s">
        <v>548</v>
      </c>
      <c r="D280" t="s">
        <v>17</v>
      </c>
      <c r="E280" s="1">
        <v>46187</v>
      </c>
      <c r="F280" s="2">
        <v>0.69791666666666663</v>
      </c>
      <c r="G280">
        <v>54</v>
      </c>
      <c r="H280">
        <v>32</v>
      </c>
      <c r="I280">
        <v>3840</v>
      </c>
      <c r="J280">
        <v>16.559999999999999</v>
      </c>
      <c r="K280" t="s">
        <v>549</v>
      </c>
      <c r="L280" t="s">
        <v>37</v>
      </c>
      <c r="M280" t="s">
        <v>20</v>
      </c>
      <c r="N280" t="s">
        <v>21</v>
      </c>
    </row>
    <row r="281" spans="1:14" x14ac:dyDescent="0.3">
      <c r="A281" t="s">
        <v>30</v>
      </c>
      <c r="B281" t="s">
        <v>31</v>
      </c>
      <c r="C281" t="s">
        <v>550</v>
      </c>
      <c r="D281" t="s">
        <v>47</v>
      </c>
      <c r="E281" s="1">
        <v>46188</v>
      </c>
      <c r="F281" s="2">
        <v>0.85416666666666663</v>
      </c>
      <c r="G281">
        <v>0</v>
      </c>
      <c r="H281">
        <v>84</v>
      </c>
      <c r="I281">
        <v>8400</v>
      </c>
      <c r="J281">
        <v>20.67</v>
      </c>
      <c r="K281" t="s">
        <v>551</v>
      </c>
      <c r="L281" t="s">
        <v>37</v>
      </c>
      <c r="M281" t="s">
        <v>28</v>
      </c>
      <c r="N281" t="s">
        <v>29</v>
      </c>
    </row>
    <row r="282" spans="1:14" x14ac:dyDescent="0.3">
      <c r="A282" t="s">
        <v>40</v>
      </c>
      <c r="B282" t="s">
        <v>41</v>
      </c>
      <c r="C282" t="s">
        <v>552</v>
      </c>
      <c r="D282" t="s">
        <v>17</v>
      </c>
      <c r="E282" s="1">
        <v>46189</v>
      </c>
      <c r="F282" s="2">
        <v>0.52083333333333337</v>
      </c>
      <c r="G282">
        <v>0</v>
      </c>
      <c r="H282">
        <v>57</v>
      </c>
      <c r="I282">
        <v>4560</v>
      </c>
      <c r="J282">
        <v>41.07</v>
      </c>
      <c r="K282" t="s">
        <v>118</v>
      </c>
      <c r="L282" t="s">
        <v>27</v>
      </c>
      <c r="M282" t="s">
        <v>28</v>
      </c>
      <c r="N282" t="s">
        <v>29</v>
      </c>
    </row>
    <row r="283" spans="1:14" x14ac:dyDescent="0.3">
      <c r="A283" t="s">
        <v>22</v>
      </c>
      <c r="B283" t="s">
        <v>23</v>
      </c>
      <c r="C283" t="s">
        <v>553</v>
      </c>
      <c r="D283" t="s">
        <v>25</v>
      </c>
      <c r="E283" s="1">
        <v>46195</v>
      </c>
      <c r="F283" s="2">
        <v>0.67708333333333337</v>
      </c>
      <c r="G283">
        <v>22</v>
      </c>
      <c r="H283">
        <v>41</v>
      </c>
      <c r="I283">
        <v>4100</v>
      </c>
      <c r="J283">
        <v>23.83</v>
      </c>
      <c r="K283" t="s">
        <v>554</v>
      </c>
      <c r="L283" t="s">
        <v>44</v>
      </c>
      <c r="M283" t="s">
        <v>28</v>
      </c>
      <c r="N283" t="s">
        <v>21</v>
      </c>
    </row>
    <row r="284" spans="1:14" x14ac:dyDescent="0.3">
      <c r="A284" t="s">
        <v>71</v>
      </c>
      <c r="B284" t="s">
        <v>72</v>
      </c>
      <c r="C284" t="s">
        <v>555</v>
      </c>
      <c r="D284" t="s">
        <v>47</v>
      </c>
      <c r="E284" s="1">
        <v>46195</v>
      </c>
      <c r="F284" s="2">
        <v>0.41666666666666669</v>
      </c>
      <c r="G284">
        <v>48</v>
      </c>
      <c r="H284">
        <v>66</v>
      </c>
      <c r="I284">
        <v>5280</v>
      </c>
      <c r="J284">
        <v>43.54</v>
      </c>
      <c r="K284" t="s">
        <v>556</v>
      </c>
      <c r="L284" t="s">
        <v>37</v>
      </c>
      <c r="M284" t="s">
        <v>28</v>
      </c>
      <c r="N284" t="s">
        <v>21</v>
      </c>
    </row>
    <row r="285" spans="1:14" x14ac:dyDescent="0.3">
      <c r="A285" t="s">
        <v>14</v>
      </c>
      <c r="B285" t="s">
        <v>15</v>
      </c>
      <c r="C285" t="s">
        <v>557</v>
      </c>
      <c r="D285" t="s">
        <v>25</v>
      </c>
      <c r="E285" s="1">
        <v>46201</v>
      </c>
      <c r="F285" s="2">
        <v>0.57291666666666663</v>
      </c>
      <c r="G285">
        <v>37</v>
      </c>
      <c r="H285">
        <v>42</v>
      </c>
      <c r="I285">
        <v>3360</v>
      </c>
      <c r="J285">
        <v>32.659999999999997</v>
      </c>
      <c r="K285" t="s">
        <v>558</v>
      </c>
      <c r="L285" t="s">
        <v>37</v>
      </c>
      <c r="M285" t="s">
        <v>20</v>
      </c>
      <c r="N285" t="s">
        <v>21</v>
      </c>
    </row>
    <row r="286" spans="1:14" x14ac:dyDescent="0.3">
      <c r="A286" t="s">
        <v>71</v>
      </c>
      <c r="B286" t="s">
        <v>72</v>
      </c>
      <c r="C286" t="s">
        <v>559</v>
      </c>
      <c r="D286" t="s">
        <v>17</v>
      </c>
      <c r="E286" s="1">
        <v>46193</v>
      </c>
      <c r="F286" s="2">
        <v>0.63541666666666663</v>
      </c>
      <c r="G286">
        <v>51</v>
      </c>
      <c r="H286">
        <v>33</v>
      </c>
      <c r="I286">
        <v>3300</v>
      </c>
      <c r="J286">
        <v>28.38</v>
      </c>
      <c r="K286" t="s">
        <v>560</v>
      </c>
      <c r="L286" t="s">
        <v>44</v>
      </c>
      <c r="M286" t="s">
        <v>20</v>
      </c>
      <c r="N286" t="s">
        <v>21</v>
      </c>
    </row>
    <row r="287" spans="1:14" x14ac:dyDescent="0.3">
      <c r="A287" t="s">
        <v>22</v>
      </c>
      <c r="B287" t="s">
        <v>23</v>
      </c>
      <c r="C287" t="s">
        <v>561</v>
      </c>
      <c r="D287" t="s">
        <v>33</v>
      </c>
      <c r="E287" s="1">
        <v>46174</v>
      </c>
      <c r="F287" s="2">
        <v>0.86458333333333337</v>
      </c>
      <c r="G287">
        <v>0</v>
      </c>
      <c r="H287">
        <v>48</v>
      </c>
      <c r="I287">
        <v>4800</v>
      </c>
      <c r="J287">
        <v>32.61</v>
      </c>
      <c r="K287" t="s">
        <v>562</v>
      </c>
      <c r="L287" t="s">
        <v>19</v>
      </c>
      <c r="M287" t="s">
        <v>28</v>
      </c>
      <c r="N287" t="s">
        <v>29</v>
      </c>
    </row>
    <row r="288" spans="1:14" x14ac:dyDescent="0.3">
      <c r="A288" t="s">
        <v>14</v>
      </c>
      <c r="B288" t="s">
        <v>15</v>
      </c>
      <c r="C288" t="s">
        <v>563</v>
      </c>
      <c r="D288" t="s">
        <v>33</v>
      </c>
      <c r="E288" s="1">
        <v>46183</v>
      </c>
      <c r="F288" s="2">
        <v>0.90625</v>
      </c>
      <c r="G288">
        <v>0</v>
      </c>
      <c r="H288">
        <v>43</v>
      </c>
      <c r="I288">
        <v>3440</v>
      </c>
      <c r="J288">
        <v>30.74</v>
      </c>
      <c r="K288" t="s">
        <v>564</v>
      </c>
      <c r="L288" t="s">
        <v>37</v>
      </c>
      <c r="M288" t="s">
        <v>28</v>
      </c>
      <c r="N288" t="s">
        <v>29</v>
      </c>
    </row>
    <row r="289" spans="1:14" x14ac:dyDescent="0.3">
      <c r="A289" t="s">
        <v>22</v>
      </c>
      <c r="B289" t="s">
        <v>23</v>
      </c>
      <c r="C289" t="s">
        <v>565</v>
      </c>
      <c r="D289" t="s">
        <v>47</v>
      </c>
      <c r="E289" s="1">
        <v>46181</v>
      </c>
      <c r="F289" s="2">
        <v>0.9375</v>
      </c>
      <c r="G289">
        <v>0</v>
      </c>
      <c r="H289">
        <v>65</v>
      </c>
      <c r="I289">
        <v>7800</v>
      </c>
      <c r="J289">
        <v>37.880000000000003</v>
      </c>
      <c r="K289" t="s">
        <v>566</v>
      </c>
      <c r="L289" t="s">
        <v>27</v>
      </c>
      <c r="M289" t="s">
        <v>28</v>
      </c>
      <c r="N289" t="s">
        <v>29</v>
      </c>
    </row>
    <row r="290" spans="1:14" x14ac:dyDescent="0.3">
      <c r="A290" t="s">
        <v>30</v>
      </c>
      <c r="B290" t="s">
        <v>31</v>
      </c>
      <c r="C290" t="s">
        <v>567</v>
      </c>
      <c r="D290" t="s">
        <v>25</v>
      </c>
      <c r="E290" s="1">
        <v>46191</v>
      </c>
      <c r="F290" s="2">
        <v>0.57291666666666663</v>
      </c>
      <c r="G290">
        <v>0</v>
      </c>
      <c r="H290">
        <v>37</v>
      </c>
      <c r="I290">
        <v>2960</v>
      </c>
      <c r="J290">
        <v>23.83</v>
      </c>
      <c r="K290" t="s">
        <v>568</v>
      </c>
      <c r="L290" t="s">
        <v>37</v>
      </c>
      <c r="M290" t="s">
        <v>28</v>
      </c>
      <c r="N290" t="s">
        <v>45</v>
      </c>
    </row>
    <row r="291" spans="1:14" x14ac:dyDescent="0.3">
      <c r="A291" t="s">
        <v>14</v>
      </c>
      <c r="B291" t="s">
        <v>15</v>
      </c>
      <c r="C291" t="s">
        <v>569</v>
      </c>
      <c r="D291" t="s">
        <v>25</v>
      </c>
      <c r="E291" s="1">
        <v>46201</v>
      </c>
      <c r="F291" s="2">
        <v>0.54166666666666663</v>
      </c>
      <c r="G291">
        <v>27</v>
      </c>
      <c r="H291">
        <v>46</v>
      </c>
      <c r="I291">
        <v>4600</v>
      </c>
      <c r="J291">
        <v>25.91</v>
      </c>
      <c r="K291" t="s">
        <v>570</v>
      </c>
      <c r="L291" t="s">
        <v>27</v>
      </c>
      <c r="M291" t="s">
        <v>20</v>
      </c>
      <c r="N291" t="s">
        <v>21</v>
      </c>
    </row>
    <row r="292" spans="1:14" x14ac:dyDescent="0.3">
      <c r="A292" t="s">
        <v>30</v>
      </c>
      <c r="B292" t="s">
        <v>31</v>
      </c>
      <c r="C292" t="s">
        <v>571</v>
      </c>
      <c r="D292" t="s">
        <v>47</v>
      </c>
      <c r="E292" s="1">
        <v>46174</v>
      </c>
      <c r="F292" s="2">
        <v>0.59375</v>
      </c>
      <c r="G292">
        <v>20</v>
      </c>
      <c r="H292">
        <v>16</v>
      </c>
      <c r="I292">
        <v>1600</v>
      </c>
      <c r="J292">
        <v>41.88</v>
      </c>
      <c r="K292" t="s">
        <v>572</v>
      </c>
      <c r="L292" t="s">
        <v>27</v>
      </c>
      <c r="M292" t="s">
        <v>28</v>
      </c>
      <c r="N292" t="s">
        <v>21</v>
      </c>
    </row>
    <row r="293" spans="1:14" x14ac:dyDescent="0.3">
      <c r="A293" t="s">
        <v>71</v>
      </c>
      <c r="B293" t="s">
        <v>72</v>
      </c>
      <c r="C293" t="s">
        <v>573</v>
      </c>
      <c r="D293" t="s">
        <v>33</v>
      </c>
      <c r="E293" s="1">
        <v>46175</v>
      </c>
      <c r="F293" s="2">
        <v>0.84375</v>
      </c>
      <c r="G293">
        <v>0</v>
      </c>
      <c r="H293">
        <v>77</v>
      </c>
      <c r="I293">
        <v>9240</v>
      </c>
      <c r="J293">
        <v>43.42</v>
      </c>
      <c r="K293" t="s">
        <v>574</v>
      </c>
      <c r="L293" t="s">
        <v>37</v>
      </c>
      <c r="M293" t="s">
        <v>28</v>
      </c>
      <c r="N293" t="s">
        <v>29</v>
      </c>
    </row>
    <row r="294" spans="1:14" x14ac:dyDescent="0.3">
      <c r="A294" t="s">
        <v>71</v>
      </c>
      <c r="B294" t="s">
        <v>72</v>
      </c>
      <c r="C294" t="s">
        <v>575</v>
      </c>
      <c r="D294" t="s">
        <v>17</v>
      </c>
      <c r="E294" s="1">
        <v>46174</v>
      </c>
      <c r="F294" s="2">
        <v>0.33333333333333331</v>
      </c>
      <c r="G294">
        <v>0</v>
      </c>
      <c r="H294">
        <v>46</v>
      </c>
      <c r="I294">
        <v>3680</v>
      </c>
      <c r="J294">
        <v>41.83</v>
      </c>
      <c r="K294" t="s">
        <v>155</v>
      </c>
      <c r="L294" t="s">
        <v>37</v>
      </c>
      <c r="M294" t="s">
        <v>28</v>
      </c>
      <c r="N294" t="s">
        <v>29</v>
      </c>
    </row>
    <row r="295" spans="1:14" x14ac:dyDescent="0.3">
      <c r="A295" t="s">
        <v>14</v>
      </c>
      <c r="B295" t="s">
        <v>15</v>
      </c>
      <c r="C295" t="s">
        <v>576</v>
      </c>
      <c r="D295" t="s">
        <v>47</v>
      </c>
      <c r="E295" s="1">
        <v>46174</v>
      </c>
      <c r="F295" s="2">
        <v>0.38541666666666669</v>
      </c>
      <c r="G295">
        <v>14</v>
      </c>
      <c r="H295">
        <v>65</v>
      </c>
      <c r="I295">
        <v>5200</v>
      </c>
      <c r="J295">
        <v>27.87</v>
      </c>
      <c r="K295" t="s">
        <v>269</v>
      </c>
      <c r="L295" t="s">
        <v>27</v>
      </c>
      <c r="M295" t="s">
        <v>28</v>
      </c>
      <c r="N295" t="s">
        <v>21</v>
      </c>
    </row>
    <row r="296" spans="1:14" x14ac:dyDescent="0.3">
      <c r="A296" t="s">
        <v>14</v>
      </c>
      <c r="B296" t="s">
        <v>15</v>
      </c>
      <c r="C296" t="s">
        <v>304</v>
      </c>
      <c r="D296" t="s">
        <v>17</v>
      </c>
      <c r="E296" s="1">
        <v>46182</v>
      </c>
      <c r="F296" s="2">
        <v>0.38541666666666669</v>
      </c>
      <c r="G296">
        <v>0</v>
      </c>
      <c r="H296">
        <v>74</v>
      </c>
      <c r="I296">
        <v>5920</v>
      </c>
      <c r="J296">
        <v>38.520000000000003</v>
      </c>
      <c r="K296" t="s">
        <v>577</v>
      </c>
      <c r="L296" t="s">
        <v>44</v>
      </c>
      <c r="M296" t="s">
        <v>28</v>
      </c>
      <c r="N296" t="s">
        <v>29</v>
      </c>
    </row>
    <row r="297" spans="1:14" x14ac:dyDescent="0.3">
      <c r="A297" t="s">
        <v>22</v>
      </c>
      <c r="B297" t="s">
        <v>23</v>
      </c>
      <c r="C297" t="s">
        <v>578</v>
      </c>
      <c r="D297" t="s">
        <v>33</v>
      </c>
      <c r="E297" s="1">
        <v>46186</v>
      </c>
      <c r="F297" s="2">
        <v>0.58333333333333337</v>
      </c>
      <c r="G297">
        <v>0</v>
      </c>
      <c r="H297">
        <v>74</v>
      </c>
      <c r="I297">
        <v>7400</v>
      </c>
      <c r="J297">
        <v>29.55</v>
      </c>
      <c r="K297" t="s">
        <v>579</v>
      </c>
      <c r="L297" t="s">
        <v>44</v>
      </c>
      <c r="M297" t="s">
        <v>20</v>
      </c>
      <c r="N297" t="s">
        <v>45</v>
      </c>
    </row>
    <row r="298" spans="1:14" x14ac:dyDescent="0.3">
      <c r="A298" t="s">
        <v>22</v>
      </c>
      <c r="B298" t="s">
        <v>23</v>
      </c>
      <c r="C298" t="s">
        <v>580</v>
      </c>
      <c r="D298" t="s">
        <v>25</v>
      </c>
      <c r="E298" s="1">
        <v>46203</v>
      </c>
      <c r="F298" s="2">
        <v>0.625</v>
      </c>
      <c r="G298">
        <v>0</v>
      </c>
      <c r="H298">
        <v>56</v>
      </c>
      <c r="I298">
        <v>4480</v>
      </c>
      <c r="J298">
        <v>30.18</v>
      </c>
      <c r="K298" t="s">
        <v>458</v>
      </c>
      <c r="L298" t="s">
        <v>37</v>
      </c>
      <c r="M298" t="s">
        <v>28</v>
      </c>
      <c r="N298" t="s">
        <v>45</v>
      </c>
    </row>
    <row r="299" spans="1:14" x14ac:dyDescent="0.3">
      <c r="A299" t="s">
        <v>30</v>
      </c>
      <c r="B299" t="s">
        <v>31</v>
      </c>
      <c r="C299" t="s">
        <v>581</v>
      </c>
      <c r="D299" t="s">
        <v>33</v>
      </c>
      <c r="E299" s="1">
        <v>46174</v>
      </c>
      <c r="F299" s="2">
        <v>0.40625</v>
      </c>
      <c r="G299">
        <v>0</v>
      </c>
      <c r="H299">
        <v>29</v>
      </c>
      <c r="I299">
        <v>3480</v>
      </c>
      <c r="J299">
        <v>21.54</v>
      </c>
      <c r="K299" t="s">
        <v>545</v>
      </c>
      <c r="L299" t="s">
        <v>19</v>
      </c>
      <c r="M299" t="s">
        <v>28</v>
      </c>
      <c r="N299" t="s">
        <v>29</v>
      </c>
    </row>
    <row r="300" spans="1:14" x14ac:dyDescent="0.3">
      <c r="A300" t="s">
        <v>14</v>
      </c>
      <c r="B300" t="s">
        <v>15</v>
      </c>
      <c r="C300" t="s">
        <v>582</v>
      </c>
      <c r="D300" t="s">
        <v>47</v>
      </c>
      <c r="E300" s="1">
        <v>46186</v>
      </c>
      <c r="F300" s="2">
        <v>0.55208333333333337</v>
      </c>
      <c r="G300">
        <v>25</v>
      </c>
      <c r="H300">
        <v>28</v>
      </c>
      <c r="I300">
        <v>2800</v>
      </c>
      <c r="J300">
        <v>32.94</v>
      </c>
      <c r="K300" t="s">
        <v>583</v>
      </c>
      <c r="L300" t="s">
        <v>44</v>
      </c>
      <c r="M300" t="s">
        <v>20</v>
      </c>
      <c r="N300" t="s">
        <v>21</v>
      </c>
    </row>
    <row r="301" spans="1:14" x14ac:dyDescent="0.3">
      <c r="A301" t="s">
        <v>71</v>
      </c>
      <c r="B301" t="s">
        <v>72</v>
      </c>
      <c r="C301" t="s">
        <v>584</v>
      </c>
      <c r="D301" t="s">
        <v>25</v>
      </c>
      <c r="E301" s="1">
        <v>46193</v>
      </c>
      <c r="F301" s="2">
        <v>0.75</v>
      </c>
      <c r="G301">
        <v>33</v>
      </c>
      <c r="H301">
        <v>38</v>
      </c>
      <c r="I301">
        <v>3800</v>
      </c>
      <c r="J301">
        <v>20.99</v>
      </c>
      <c r="K301" t="s">
        <v>585</v>
      </c>
      <c r="L301" t="s">
        <v>37</v>
      </c>
      <c r="M301" t="s">
        <v>20</v>
      </c>
      <c r="N301" t="s">
        <v>21</v>
      </c>
    </row>
    <row r="302" spans="1:14" x14ac:dyDescent="0.3">
      <c r="A302" t="s">
        <v>22</v>
      </c>
      <c r="B302" t="s">
        <v>23</v>
      </c>
      <c r="C302" t="s">
        <v>586</v>
      </c>
      <c r="D302" t="s">
        <v>47</v>
      </c>
      <c r="E302" s="1">
        <v>46199</v>
      </c>
      <c r="F302" s="2">
        <v>0.90625</v>
      </c>
      <c r="G302">
        <v>50</v>
      </c>
      <c r="H302">
        <v>83</v>
      </c>
      <c r="I302">
        <v>6640</v>
      </c>
      <c r="J302">
        <v>25.28</v>
      </c>
      <c r="K302" t="s">
        <v>587</v>
      </c>
      <c r="L302" t="s">
        <v>44</v>
      </c>
      <c r="M302" t="s">
        <v>28</v>
      </c>
      <c r="N302" t="s">
        <v>21</v>
      </c>
    </row>
    <row r="303" spans="1:14" x14ac:dyDescent="0.3">
      <c r="A303" t="s">
        <v>22</v>
      </c>
      <c r="B303" t="s">
        <v>23</v>
      </c>
      <c r="C303" t="s">
        <v>588</v>
      </c>
      <c r="D303" t="s">
        <v>47</v>
      </c>
      <c r="E303" s="1">
        <v>46195</v>
      </c>
      <c r="F303" s="2">
        <v>0.3125</v>
      </c>
      <c r="G303">
        <v>0</v>
      </c>
      <c r="H303">
        <v>69</v>
      </c>
      <c r="I303">
        <v>8280</v>
      </c>
      <c r="J303">
        <v>40.72</v>
      </c>
      <c r="K303" t="s">
        <v>263</v>
      </c>
      <c r="L303" t="s">
        <v>19</v>
      </c>
      <c r="M303" t="s">
        <v>28</v>
      </c>
      <c r="N303" t="s">
        <v>29</v>
      </c>
    </row>
    <row r="304" spans="1:14" x14ac:dyDescent="0.3">
      <c r="A304" t="s">
        <v>71</v>
      </c>
      <c r="B304" t="s">
        <v>72</v>
      </c>
      <c r="C304" t="s">
        <v>589</v>
      </c>
      <c r="D304" t="s">
        <v>33</v>
      </c>
      <c r="E304" s="1">
        <v>46180</v>
      </c>
      <c r="F304" s="2">
        <v>0.64583333333333337</v>
      </c>
      <c r="G304">
        <v>0</v>
      </c>
      <c r="H304">
        <v>27</v>
      </c>
      <c r="I304">
        <v>2700</v>
      </c>
      <c r="J304">
        <v>21.61</v>
      </c>
      <c r="K304" t="s">
        <v>590</v>
      </c>
      <c r="L304" t="s">
        <v>37</v>
      </c>
      <c r="M304" t="s">
        <v>20</v>
      </c>
      <c r="N304" t="s">
        <v>29</v>
      </c>
    </row>
    <row r="305" spans="1:14" x14ac:dyDescent="0.3">
      <c r="A305" t="s">
        <v>22</v>
      </c>
      <c r="B305" t="s">
        <v>23</v>
      </c>
      <c r="C305" t="s">
        <v>591</v>
      </c>
      <c r="D305" t="s">
        <v>47</v>
      </c>
      <c r="E305" s="1">
        <v>46175</v>
      </c>
      <c r="F305" s="2">
        <v>0.94791666666666663</v>
      </c>
      <c r="G305">
        <v>34</v>
      </c>
      <c r="H305">
        <v>44</v>
      </c>
      <c r="I305">
        <v>4400</v>
      </c>
      <c r="J305">
        <v>17.600000000000001</v>
      </c>
      <c r="K305" t="s">
        <v>58</v>
      </c>
      <c r="L305" t="s">
        <v>19</v>
      </c>
      <c r="M305" t="s">
        <v>28</v>
      </c>
      <c r="N305" t="s">
        <v>21</v>
      </c>
    </row>
    <row r="306" spans="1:14" x14ac:dyDescent="0.3">
      <c r="A306" t="s">
        <v>30</v>
      </c>
      <c r="B306" t="s">
        <v>31</v>
      </c>
      <c r="C306" t="s">
        <v>592</v>
      </c>
      <c r="D306" t="s">
        <v>33</v>
      </c>
      <c r="E306" s="1">
        <v>46179</v>
      </c>
      <c r="F306" s="2">
        <v>0.58333333333333337</v>
      </c>
      <c r="G306">
        <v>0</v>
      </c>
      <c r="H306">
        <v>52</v>
      </c>
      <c r="I306">
        <v>4160</v>
      </c>
      <c r="J306">
        <v>17.54</v>
      </c>
      <c r="K306" t="s">
        <v>593</v>
      </c>
      <c r="L306" t="s">
        <v>37</v>
      </c>
      <c r="M306" t="s">
        <v>20</v>
      </c>
      <c r="N306" t="s">
        <v>45</v>
      </c>
    </row>
    <row r="307" spans="1:14" x14ac:dyDescent="0.3">
      <c r="A307" t="s">
        <v>14</v>
      </c>
      <c r="B307" t="s">
        <v>15</v>
      </c>
      <c r="C307" t="s">
        <v>594</v>
      </c>
      <c r="D307" t="s">
        <v>25</v>
      </c>
      <c r="E307" s="1">
        <v>46180</v>
      </c>
      <c r="F307" s="2">
        <v>0.5625</v>
      </c>
      <c r="G307">
        <v>64</v>
      </c>
      <c r="H307">
        <v>20</v>
      </c>
      <c r="I307">
        <v>1600</v>
      </c>
      <c r="J307">
        <v>43.25</v>
      </c>
      <c r="K307" t="s">
        <v>595</v>
      </c>
      <c r="L307" t="s">
        <v>19</v>
      </c>
      <c r="M307" t="s">
        <v>20</v>
      </c>
      <c r="N307" t="s">
        <v>21</v>
      </c>
    </row>
    <row r="308" spans="1:14" x14ac:dyDescent="0.3">
      <c r="A308" t="s">
        <v>71</v>
      </c>
      <c r="B308" t="s">
        <v>72</v>
      </c>
      <c r="C308" t="s">
        <v>596</v>
      </c>
      <c r="D308" t="s">
        <v>33</v>
      </c>
      <c r="E308" s="1">
        <v>46199</v>
      </c>
      <c r="F308" s="2">
        <v>0.82291666666666663</v>
      </c>
      <c r="G308">
        <v>44</v>
      </c>
      <c r="H308">
        <v>58</v>
      </c>
      <c r="I308">
        <v>6960</v>
      </c>
      <c r="J308">
        <v>30.45</v>
      </c>
      <c r="K308" t="s">
        <v>159</v>
      </c>
      <c r="L308" t="s">
        <v>44</v>
      </c>
      <c r="M308" t="s">
        <v>28</v>
      </c>
      <c r="N308" t="s">
        <v>21</v>
      </c>
    </row>
    <row r="309" spans="1:14" x14ac:dyDescent="0.3">
      <c r="A309" t="s">
        <v>14</v>
      </c>
      <c r="B309" t="s">
        <v>15</v>
      </c>
      <c r="C309" t="s">
        <v>597</v>
      </c>
      <c r="D309" t="s">
        <v>25</v>
      </c>
      <c r="E309" s="1">
        <v>46187</v>
      </c>
      <c r="F309" s="2">
        <v>0.73958333333333337</v>
      </c>
      <c r="G309">
        <v>64</v>
      </c>
      <c r="H309">
        <v>47</v>
      </c>
      <c r="I309">
        <v>3760</v>
      </c>
      <c r="J309">
        <v>27.58</v>
      </c>
      <c r="K309" t="s">
        <v>521</v>
      </c>
      <c r="L309" t="s">
        <v>44</v>
      </c>
      <c r="M309" t="s">
        <v>20</v>
      </c>
      <c r="N309" t="s">
        <v>21</v>
      </c>
    </row>
    <row r="310" spans="1:14" x14ac:dyDescent="0.3">
      <c r="A310" t="s">
        <v>22</v>
      </c>
      <c r="B310" t="s">
        <v>23</v>
      </c>
      <c r="C310" t="s">
        <v>598</v>
      </c>
      <c r="D310" t="s">
        <v>33</v>
      </c>
      <c r="E310" s="1">
        <v>46199</v>
      </c>
      <c r="F310" s="2">
        <v>0.79166666666666663</v>
      </c>
      <c r="G310">
        <v>23</v>
      </c>
      <c r="H310">
        <v>73</v>
      </c>
      <c r="I310">
        <v>8760</v>
      </c>
      <c r="J310">
        <v>39.42</v>
      </c>
      <c r="K310" t="s">
        <v>599</v>
      </c>
      <c r="L310" t="s">
        <v>19</v>
      </c>
      <c r="M310" t="s">
        <v>28</v>
      </c>
      <c r="N310" t="s">
        <v>21</v>
      </c>
    </row>
    <row r="311" spans="1:14" x14ac:dyDescent="0.3">
      <c r="A311" t="s">
        <v>22</v>
      </c>
      <c r="B311" t="s">
        <v>23</v>
      </c>
      <c r="C311" t="s">
        <v>600</v>
      </c>
      <c r="D311" t="s">
        <v>17</v>
      </c>
      <c r="E311" s="1">
        <v>46191</v>
      </c>
      <c r="F311" s="2">
        <v>0.34375</v>
      </c>
      <c r="G311">
        <v>58</v>
      </c>
      <c r="H311">
        <v>78</v>
      </c>
      <c r="I311">
        <v>7800</v>
      </c>
      <c r="J311">
        <v>40.159999999999997</v>
      </c>
      <c r="K311" t="s">
        <v>601</v>
      </c>
      <c r="L311" t="s">
        <v>19</v>
      </c>
      <c r="M311" t="s">
        <v>28</v>
      </c>
      <c r="N311" t="s">
        <v>21</v>
      </c>
    </row>
    <row r="312" spans="1:14" x14ac:dyDescent="0.3">
      <c r="A312" t="s">
        <v>71</v>
      </c>
      <c r="B312" t="s">
        <v>72</v>
      </c>
      <c r="C312" t="s">
        <v>602</v>
      </c>
      <c r="D312" t="s">
        <v>17</v>
      </c>
      <c r="E312" s="1">
        <v>46188</v>
      </c>
      <c r="F312" s="2">
        <v>0.5</v>
      </c>
      <c r="G312">
        <v>0</v>
      </c>
      <c r="H312">
        <v>17</v>
      </c>
      <c r="I312">
        <v>2040</v>
      </c>
      <c r="J312">
        <v>25.3</v>
      </c>
      <c r="K312" t="s">
        <v>603</v>
      </c>
      <c r="L312" t="s">
        <v>19</v>
      </c>
      <c r="M312" t="s">
        <v>28</v>
      </c>
      <c r="N312" t="s">
        <v>29</v>
      </c>
    </row>
    <row r="313" spans="1:14" x14ac:dyDescent="0.3">
      <c r="A313" t="s">
        <v>30</v>
      </c>
      <c r="B313" t="s">
        <v>31</v>
      </c>
      <c r="C313" t="s">
        <v>604</v>
      </c>
      <c r="D313" t="s">
        <v>47</v>
      </c>
      <c r="E313" s="1">
        <v>46175</v>
      </c>
      <c r="F313" s="2">
        <v>0.70833333333333337</v>
      </c>
      <c r="G313">
        <v>0</v>
      </c>
      <c r="H313">
        <v>43</v>
      </c>
      <c r="I313">
        <v>5160</v>
      </c>
      <c r="J313">
        <v>35.96</v>
      </c>
      <c r="K313" t="s">
        <v>381</v>
      </c>
      <c r="L313" t="s">
        <v>37</v>
      </c>
      <c r="M313" t="s">
        <v>28</v>
      </c>
      <c r="N313" t="s">
        <v>45</v>
      </c>
    </row>
    <row r="314" spans="1:14" x14ac:dyDescent="0.3">
      <c r="A314" t="s">
        <v>40</v>
      </c>
      <c r="B314" t="s">
        <v>41</v>
      </c>
      <c r="C314" t="s">
        <v>605</v>
      </c>
      <c r="D314" t="s">
        <v>33</v>
      </c>
      <c r="E314" s="1">
        <v>46183</v>
      </c>
      <c r="F314" s="2">
        <v>0.84375</v>
      </c>
      <c r="G314">
        <v>0</v>
      </c>
      <c r="H314">
        <v>57</v>
      </c>
      <c r="I314">
        <v>6840</v>
      </c>
      <c r="J314">
        <v>38.25</v>
      </c>
      <c r="K314" t="s">
        <v>460</v>
      </c>
      <c r="L314" t="s">
        <v>44</v>
      </c>
      <c r="M314" t="s">
        <v>28</v>
      </c>
      <c r="N314" t="s">
        <v>45</v>
      </c>
    </row>
    <row r="315" spans="1:14" x14ac:dyDescent="0.3">
      <c r="A315" t="s">
        <v>71</v>
      </c>
      <c r="B315" t="s">
        <v>72</v>
      </c>
      <c r="C315" t="s">
        <v>606</v>
      </c>
      <c r="D315" t="s">
        <v>33</v>
      </c>
      <c r="E315" s="1">
        <v>46196</v>
      </c>
      <c r="F315" s="2">
        <v>0.76041666666666663</v>
      </c>
      <c r="G315">
        <v>0</v>
      </c>
      <c r="H315">
        <v>65</v>
      </c>
      <c r="I315">
        <v>6500</v>
      </c>
      <c r="J315">
        <v>34.81</v>
      </c>
      <c r="K315" t="s">
        <v>607</v>
      </c>
      <c r="L315" t="s">
        <v>37</v>
      </c>
      <c r="M315" t="s">
        <v>28</v>
      </c>
      <c r="N315" t="s">
        <v>29</v>
      </c>
    </row>
    <row r="316" spans="1:14" x14ac:dyDescent="0.3">
      <c r="A316" t="s">
        <v>40</v>
      </c>
      <c r="B316" t="s">
        <v>41</v>
      </c>
      <c r="C316" t="s">
        <v>608</v>
      </c>
      <c r="D316" t="s">
        <v>25</v>
      </c>
      <c r="E316" s="1">
        <v>46185</v>
      </c>
      <c r="F316" s="2">
        <v>0.55208333333333337</v>
      </c>
      <c r="G316">
        <v>0</v>
      </c>
      <c r="H316">
        <v>74</v>
      </c>
      <c r="I316">
        <v>5920</v>
      </c>
      <c r="J316">
        <v>19.97</v>
      </c>
      <c r="K316" t="s">
        <v>383</v>
      </c>
      <c r="L316" t="s">
        <v>44</v>
      </c>
      <c r="M316" t="s">
        <v>28</v>
      </c>
      <c r="N316" t="s">
        <v>29</v>
      </c>
    </row>
    <row r="317" spans="1:14" x14ac:dyDescent="0.3">
      <c r="A317" t="s">
        <v>40</v>
      </c>
      <c r="B317" t="s">
        <v>41</v>
      </c>
      <c r="C317" t="s">
        <v>609</v>
      </c>
      <c r="D317" t="s">
        <v>47</v>
      </c>
      <c r="E317" s="1">
        <v>46190</v>
      </c>
      <c r="F317" s="2">
        <v>0.55208333333333337</v>
      </c>
      <c r="G317">
        <v>28</v>
      </c>
      <c r="H317">
        <v>40</v>
      </c>
      <c r="I317">
        <v>4000</v>
      </c>
      <c r="J317">
        <v>41.34</v>
      </c>
      <c r="K317" t="s">
        <v>610</v>
      </c>
      <c r="L317" t="s">
        <v>27</v>
      </c>
      <c r="M317" t="s">
        <v>28</v>
      </c>
      <c r="N317" t="s">
        <v>21</v>
      </c>
    </row>
    <row r="318" spans="1:14" x14ac:dyDescent="0.3">
      <c r="A318" t="s">
        <v>30</v>
      </c>
      <c r="B318" t="s">
        <v>31</v>
      </c>
      <c r="C318" t="s">
        <v>611</v>
      </c>
      <c r="D318" t="s">
        <v>33</v>
      </c>
      <c r="E318" s="1">
        <v>46181</v>
      </c>
      <c r="F318" s="2">
        <v>0.52083333333333337</v>
      </c>
      <c r="G318">
        <v>0</v>
      </c>
      <c r="H318">
        <v>13</v>
      </c>
      <c r="I318">
        <v>1040</v>
      </c>
      <c r="J318">
        <v>31.4</v>
      </c>
      <c r="K318" t="s">
        <v>612</v>
      </c>
      <c r="L318" t="s">
        <v>37</v>
      </c>
      <c r="M318" t="s">
        <v>28</v>
      </c>
      <c r="N318" t="s">
        <v>29</v>
      </c>
    </row>
    <row r="319" spans="1:14" x14ac:dyDescent="0.3">
      <c r="A319" t="s">
        <v>40</v>
      </c>
      <c r="B319" t="s">
        <v>41</v>
      </c>
      <c r="C319" t="s">
        <v>613</v>
      </c>
      <c r="D319" t="s">
        <v>47</v>
      </c>
      <c r="E319" s="1">
        <v>46184</v>
      </c>
      <c r="F319" s="2">
        <v>0.73958333333333337</v>
      </c>
      <c r="G319">
        <v>34</v>
      </c>
      <c r="H319">
        <v>59</v>
      </c>
      <c r="I319">
        <v>7080</v>
      </c>
      <c r="J319">
        <v>23.83</v>
      </c>
      <c r="K319" t="s">
        <v>614</v>
      </c>
      <c r="L319" t="s">
        <v>44</v>
      </c>
      <c r="M319" t="s">
        <v>28</v>
      </c>
      <c r="N319" t="s">
        <v>21</v>
      </c>
    </row>
    <row r="320" spans="1:14" x14ac:dyDescent="0.3">
      <c r="A320" t="s">
        <v>40</v>
      </c>
      <c r="B320" t="s">
        <v>41</v>
      </c>
      <c r="C320" t="s">
        <v>172</v>
      </c>
      <c r="D320" t="s">
        <v>17</v>
      </c>
      <c r="E320" s="1">
        <v>46202</v>
      </c>
      <c r="F320" s="2">
        <v>0.69791666666666663</v>
      </c>
      <c r="G320">
        <v>0</v>
      </c>
      <c r="H320">
        <v>78</v>
      </c>
      <c r="I320">
        <v>9360</v>
      </c>
      <c r="J320">
        <v>28.04</v>
      </c>
      <c r="K320" t="s">
        <v>615</v>
      </c>
      <c r="L320" t="s">
        <v>44</v>
      </c>
      <c r="M320" t="s">
        <v>28</v>
      </c>
      <c r="N320" t="s">
        <v>29</v>
      </c>
    </row>
    <row r="321" spans="1:14" x14ac:dyDescent="0.3">
      <c r="A321" t="s">
        <v>30</v>
      </c>
      <c r="B321" t="s">
        <v>31</v>
      </c>
      <c r="C321" t="s">
        <v>616</v>
      </c>
      <c r="D321" t="s">
        <v>33</v>
      </c>
      <c r="E321" s="1">
        <v>46176</v>
      </c>
      <c r="F321" s="2">
        <v>0.66666666666666663</v>
      </c>
      <c r="G321">
        <v>0</v>
      </c>
      <c r="H321">
        <v>39</v>
      </c>
      <c r="I321">
        <v>4680</v>
      </c>
      <c r="J321">
        <v>16.61</v>
      </c>
      <c r="K321" t="s">
        <v>617</v>
      </c>
      <c r="L321" t="s">
        <v>37</v>
      </c>
      <c r="M321" t="s">
        <v>28</v>
      </c>
      <c r="N321" t="s">
        <v>45</v>
      </c>
    </row>
    <row r="322" spans="1:14" x14ac:dyDescent="0.3">
      <c r="A322" t="s">
        <v>40</v>
      </c>
      <c r="B322" t="s">
        <v>41</v>
      </c>
      <c r="C322" t="s">
        <v>618</v>
      </c>
      <c r="D322" t="s">
        <v>33</v>
      </c>
      <c r="E322" s="1">
        <v>46200</v>
      </c>
      <c r="F322" s="2">
        <v>0.76041666666666663</v>
      </c>
      <c r="G322">
        <v>63</v>
      </c>
      <c r="H322">
        <v>68</v>
      </c>
      <c r="I322">
        <v>8160</v>
      </c>
      <c r="J322">
        <v>19.27</v>
      </c>
      <c r="K322" t="s">
        <v>619</v>
      </c>
      <c r="L322" t="s">
        <v>37</v>
      </c>
      <c r="M322" t="s">
        <v>20</v>
      </c>
      <c r="N322" t="s">
        <v>21</v>
      </c>
    </row>
    <row r="323" spans="1:14" x14ac:dyDescent="0.3">
      <c r="A323" t="s">
        <v>40</v>
      </c>
      <c r="B323" t="s">
        <v>41</v>
      </c>
      <c r="C323" t="s">
        <v>620</v>
      </c>
      <c r="D323" t="s">
        <v>47</v>
      </c>
      <c r="E323" s="1">
        <v>46179</v>
      </c>
      <c r="F323" s="2">
        <v>0.29166666666666669</v>
      </c>
      <c r="G323">
        <v>0</v>
      </c>
      <c r="H323">
        <v>76</v>
      </c>
      <c r="I323">
        <v>9120</v>
      </c>
      <c r="J323">
        <v>38.08</v>
      </c>
      <c r="K323" t="s">
        <v>621</v>
      </c>
      <c r="L323" t="s">
        <v>44</v>
      </c>
      <c r="M323" t="s">
        <v>20</v>
      </c>
      <c r="N323" t="s">
        <v>29</v>
      </c>
    </row>
    <row r="324" spans="1:14" x14ac:dyDescent="0.3">
      <c r="A324" t="s">
        <v>40</v>
      </c>
      <c r="B324" t="s">
        <v>41</v>
      </c>
      <c r="C324" t="s">
        <v>622</v>
      </c>
      <c r="D324" t="s">
        <v>33</v>
      </c>
      <c r="E324" s="1">
        <v>46182</v>
      </c>
      <c r="F324" s="2">
        <v>0.86458333333333337</v>
      </c>
      <c r="G324">
        <v>60</v>
      </c>
      <c r="H324">
        <v>84</v>
      </c>
      <c r="I324">
        <v>6720</v>
      </c>
      <c r="J324">
        <v>15.5</v>
      </c>
      <c r="K324" t="s">
        <v>623</v>
      </c>
      <c r="L324" t="s">
        <v>37</v>
      </c>
      <c r="M324" t="s">
        <v>28</v>
      </c>
      <c r="N324" t="s">
        <v>21</v>
      </c>
    </row>
    <row r="325" spans="1:14" x14ac:dyDescent="0.3">
      <c r="A325" t="s">
        <v>71</v>
      </c>
      <c r="B325" t="s">
        <v>72</v>
      </c>
      <c r="C325" t="s">
        <v>624</v>
      </c>
      <c r="D325" t="s">
        <v>47</v>
      </c>
      <c r="E325" s="1">
        <v>46179</v>
      </c>
      <c r="F325" s="2">
        <v>0.85416666666666663</v>
      </c>
      <c r="G325">
        <v>17</v>
      </c>
      <c r="H325">
        <v>54</v>
      </c>
      <c r="I325">
        <v>4320</v>
      </c>
      <c r="J325">
        <v>27.79</v>
      </c>
      <c r="K325" t="s">
        <v>625</v>
      </c>
      <c r="L325" t="s">
        <v>19</v>
      </c>
      <c r="M325" t="s">
        <v>20</v>
      </c>
      <c r="N325" t="s">
        <v>21</v>
      </c>
    </row>
    <row r="326" spans="1:14" x14ac:dyDescent="0.3">
      <c r="A326" t="s">
        <v>71</v>
      </c>
      <c r="B326" t="s">
        <v>72</v>
      </c>
      <c r="C326" t="s">
        <v>319</v>
      </c>
      <c r="D326" t="s">
        <v>33</v>
      </c>
      <c r="E326" s="1">
        <v>46182</v>
      </c>
      <c r="F326" s="2">
        <v>0.70833333333333337</v>
      </c>
      <c r="G326">
        <v>27</v>
      </c>
      <c r="H326">
        <v>13</v>
      </c>
      <c r="I326">
        <v>1560</v>
      </c>
      <c r="J326">
        <v>30.91</v>
      </c>
      <c r="K326" t="s">
        <v>243</v>
      </c>
      <c r="L326" t="s">
        <v>37</v>
      </c>
      <c r="M326" t="s">
        <v>28</v>
      </c>
      <c r="N326" t="s">
        <v>21</v>
      </c>
    </row>
    <row r="327" spans="1:14" x14ac:dyDescent="0.3">
      <c r="A327" t="s">
        <v>71</v>
      </c>
      <c r="B327" t="s">
        <v>72</v>
      </c>
      <c r="C327" t="s">
        <v>626</v>
      </c>
      <c r="D327" t="s">
        <v>25</v>
      </c>
      <c r="E327" s="1">
        <v>46180</v>
      </c>
      <c r="F327" s="2">
        <v>0.66666666666666663</v>
      </c>
      <c r="G327">
        <v>0</v>
      </c>
      <c r="H327">
        <v>35</v>
      </c>
      <c r="I327">
        <v>3500</v>
      </c>
      <c r="J327">
        <v>17.11</v>
      </c>
      <c r="K327" t="s">
        <v>627</v>
      </c>
      <c r="L327" t="s">
        <v>37</v>
      </c>
      <c r="M327" t="s">
        <v>20</v>
      </c>
      <c r="N327" t="s">
        <v>29</v>
      </c>
    </row>
    <row r="328" spans="1:14" x14ac:dyDescent="0.3">
      <c r="A328" t="s">
        <v>30</v>
      </c>
      <c r="B328" t="s">
        <v>31</v>
      </c>
      <c r="C328" t="s">
        <v>628</v>
      </c>
      <c r="D328" t="s">
        <v>47</v>
      </c>
      <c r="E328" s="1">
        <v>46182</v>
      </c>
      <c r="F328" s="2">
        <v>0.28125</v>
      </c>
      <c r="G328">
        <v>0</v>
      </c>
      <c r="H328">
        <v>36</v>
      </c>
      <c r="I328">
        <v>3600</v>
      </c>
      <c r="J328">
        <v>44.21</v>
      </c>
      <c r="K328" t="s">
        <v>629</v>
      </c>
      <c r="L328" t="s">
        <v>37</v>
      </c>
      <c r="M328" t="s">
        <v>28</v>
      </c>
      <c r="N328" t="s">
        <v>45</v>
      </c>
    </row>
    <row r="329" spans="1:14" x14ac:dyDescent="0.3">
      <c r="A329" t="s">
        <v>22</v>
      </c>
      <c r="B329" t="s">
        <v>23</v>
      </c>
      <c r="C329" t="s">
        <v>630</v>
      </c>
      <c r="D329" t="s">
        <v>33</v>
      </c>
      <c r="E329" s="1">
        <v>46191</v>
      </c>
      <c r="F329" s="2">
        <v>0.35416666666666669</v>
      </c>
      <c r="G329">
        <v>0</v>
      </c>
      <c r="H329">
        <v>55</v>
      </c>
      <c r="I329">
        <v>6600</v>
      </c>
      <c r="J329">
        <v>22.17</v>
      </c>
      <c r="K329" t="s">
        <v>631</v>
      </c>
      <c r="L329" t="s">
        <v>44</v>
      </c>
      <c r="M329" t="s">
        <v>28</v>
      </c>
      <c r="N329" t="s">
        <v>45</v>
      </c>
    </row>
    <row r="330" spans="1:14" x14ac:dyDescent="0.3">
      <c r="A330" t="s">
        <v>40</v>
      </c>
      <c r="B330" t="s">
        <v>41</v>
      </c>
      <c r="C330" t="s">
        <v>632</v>
      </c>
      <c r="D330" t="s">
        <v>17</v>
      </c>
      <c r="E330" s="1">
        <v>46185</v>
      </c>
      <c r="F330" s="2">
        <v>0.53125</v>
      </c>
      <c r="G330">
        <v>0</v>
      </c>
      <c r="H330">
        <v>73</v>
      </c>
      <c r="I330">
        <v>5840</v>
      </c>
      <c r="J330">
        <v>24.47</v>
      </c>
      <c r="K330" t="s">
        <v>633</v>
      </c>
      <c r="L330" t="s">
        <v>19</v>
      </c>
      <c r="M330" t="s">
        <v>28</v>
      </c>
      <c r="N330" t="s">
        <v>29</v>
      </c>
    </row>
    <row r="331" spans="1:14" x14ac:dyDescent="0.3">
      <c r="A331" t="s">
        <v>40</v>
      </c>
      <c r="B331" t="s">
        <v>41</v>
      </c>
      <c r="C331" t="s">
        <v>634</v>
      </c>
      <c r="D331" t="s">
        <v>33</v>
      </c>
      <c r="E331" s="1">
        <v>46181</v>
      </c>
      <c r="F331" s="2">
        <v>0.83333333333333337</v>
      </c>
      <c r="G331">
        <v>51</v>
      </c>
      <c r="H331">
        <v>60</v>
      </c>
      <c r="I331">
        <v>6000</v>
      </c>
      <c r="J331">
        <v>24.47</v>
      </c>
      <c r="K331" t="s">
        <v>635</v>
      </c>
      <c r="L331" t="s">
        <v>27</v>
      </c>
      <c r="M331" t="s">
        <v>28</v>
      </c>
      <c r="N331" t="s">
        <v>21</v>
      </c>
    </row>
    <row r="332" spans="1:14" x14ac:dyDescent="0.3">
      <c r="A332" t="s">
        <v>30</v>
      </c>
      <c r="B332" t="s">
        <v>31</v>
      </c>
      <c r="C332" t="s">
        <v>636</v>
      </c>
      <c r="D332" t="s">
        <v>17</v>
      </c>
      <c r="E332" s="1">
        <v>46181</v>
      </c>
      <c r="F332" s="2">
        <v>0.4375</v>
      </c>
      <c r="G332">
        <v>0</v>
      </c>
      <c r="H332">
        <v>59</v>
      </c>
      <c r="I332">
        <v>5900</v>
      </c>
      <c r="J332">
        <v>22.3</v>
      </c>
      <c r="K332" t="s">
        <v>637</v>
      </c>
      <c r="L332" t="s">
        <v>27</v>
      </c>
      <c r="M332" t="s">
        <v>28</v>
      </c>
      <c r="N332" t="s">
        <v>29</v>
      </c>
    </row>
    <row r="333" spans="1:14" x14ac:dyDescent="0.3">
      <c r="A333" t="s">
        <v>40</v>
      </c>
      <c r="B333" t="s">
        <v>41</v>
      </c>
      <c r="C333" t="s">
        <v>638</v>
      </c>
      <c r="D333" t="s">
        <v>17</v>
      </c>
      <c r="E333" s="1">
        <v>46191</v>
      </c>
      <c r="F333" s="2">
        <v>0.55208333333333337</v>
      </c>
      <c r="G333">
        <v>54</v>
      </c>
      <c r="H333">
        <v>15</v>
      </c>
      <c r="I333">
        <v>1500</v>
      </c>
      <c r="J333">
        <v>15.54</v>
      </c>
      <c r="K333" t="s">
        <v>639</v>
      </c>
      <c r="L333" t="s">
        <v>19</v>
      </c>
      <c r="M333" t="s">
        <v>28</v>
      </c>
      <c r="N333" t="s">
        <v>21</v>
      </c>
    </row>
    <row r="334" spans="1:14" x14ac:dyDescent="0.3">
      <c r="A334" t="s">
        <v>71</v>
      </c>
      <c r="B334" t="s">
        <v>72</v>
      </c>
      <c r="C334" t="s">
        <v>260</v>
      </c>
      <c r="D334" t="s">
        <v>25</v>
      </c>
      <c r="E334" s="1">
        <v>46201</v>
      </c>
      <c r="F334" s="2">
        <v>0.90625</v>
      </c>
      <c r="G334">
        <v>0</v>
      </c>
      <c r="H334">
        <v>68</v>
      </c>
      <c r="I334">
        <v>8160</v>
      </c>
      <c r="J334">
        <v>37.020000000000003</v>
      </c>
      <c r="K334" t="s">
        <v>524</v>
      </c>
      <c r="L334" t="s">
        <v>19</v>
      </c>
      <c r="M334" t="s">
        <v>20</v>
      </c>
      <c r="N334" t="s">
        <v>29</v>
      </c>
    </row>
    <row r="335" spans="1:14" x14ac:dyDescent="0.3">
      <c r="A335" t="s">
        <v>22</v>
      </c>
      <c r="B335" t="s">
        <v>23</v>
      </c>
      <c r="C335" t="s">
        <v>640</v>
      </c>
      <c r="D335" t="s">
        <v>47</v>
      </c>
      <c r="E335" s="1">
        <v>46203</v>
      </c>
      <c r="F335" s="2">
        <v>0.28125</v>
      </c>
      <c r="G335">
        <v>0</v>
      </c>
      <c r="H335">
        <v>24</v>
      </c>
      <c r="I335">
        <v>2400</v>
      </c>
      <c r="J335">
        <v>44.02</v>
      </c>
      <c r="K335" t="s">
        <v>641</v>
      </c>
      <c r="L335" t="s">
        <v>19</v>
      </c>
      <c r="M335" t="s">
        <v>28</v>
      </c>
      <c r="N335" t="s">
        <v>29</v>
      </c>
    </row>
    <row r="336" spans="1:14" x14ac:dyDescent="0.3">
      <c r="A336" t="s">
        <v>14</v>
      </c>
      <c r="B336" t="s">
        <v>15</v>
      </c>
      <c r="C336" t="s">
        <v>642</v>
      </c>
      <c r="D336" t="s">
        <v>33</v>
      </c>
      <c r="E336" s="1">
        <v>46193</v>
      </c>
      <c r="F336" s="2">
        <v>0.4375</v>
      </c>
      <c r="G336">
        <v>36</v>
      </c>
      <c r="H336">
        <v>39</v>
      </c>
      <c r="I336">
        <v>3900</v>
      </c>
      <c r="J336">
        <v>22.12</v>
      </c>
      <c r="K336" t="s">
        <v>643</v>
      </c>
      <c r="L336" t="s">
        <v>44</v>
      </c>
      <c r="M336" t="s">
        <v>20</v>
      </c>
      <c r="N336" t="s">
        <v>21</v>
      </c>
    </row>
    <row r="337" spans="1:14" x14ac:dyDescent="0.3">
      <c r="A337" t="s">
        <v>40</v>
      </c>
      <c r="B337" t="s">
        <v>41</v>
      </c>
      <c r="C337" t="s">
        <v>644</v>
      </c>
      <c r="D337" t="s">
        <v>25</v>
      </c>
      <c r="E337" s="1">
        <v>46203</v>
      </c>
      <c r="F337" s="2">
        <v>0.28125</v>
      </c>
      <c r="G337">
        <v>19</v>
      </c>
      <c r="H337">
        <v>51</v>
      </c>
      <c r="I337">
        <v>5100</v>
      </c>
      <c r="J337">
        <v>35.06</v>
      </c>
      <c r="K337" t="s">
        <v>645</v>
      </c>
      <c r="L337" t="s">
        <v>27</v>
      </c>
      <c r="M337" t="s">
        <v>28</v>
      </c>
      <c r="N337" t="s">
        <v>21</v>
      </c>
    </row>
    <row r="338" spans="1:14" x14ac:dyDescent="0.3">
      <c r="A338" t="s">
        <v>71</v>
      </c>
      <c r="B338" t="s">
        <v>72</v>
      </c>
      <c r="C338" t="s">
        <v>646</v>
      </c>
      <c r="D338" t="s">
        <v>33</v>
      </c>
      <c r="E338" s="1">
        <v>46188</v>
      </c>
      <c r="F338" s="2">
        <v>0.5625</v>
      </c>
      <c r="G338">
        <v>0</v>
      </c>
      <c r="H338">
        <v>46</v>
      </c>
      <c r="I338">
        <v>4600</v>
      </c>
      <c r="J338">
        <v>37.39</v>
      </c>
      <c r="K338" t="s">
        <v>647</v>
      </c>
      <c r="L338" t="s">
        <v>19</v>
      </c>
      <c r="M338" t="s">
        <v>28</v>
      </c>
      <c r="N338" t="s">
        <v>29</v>
      </c>
    </row>
    <row r="339" spans="1:14" x14ac:dyDescent="0.3">
      <c r="A339" t="s">
        <v>14</v>
      </c>
      <c r="B339" t="s">
        <v>15</v>
      </c>
      <c r="C339" t="s">
        <v>648</v>
      </c>
      <c r="D339" t="s">
        <v>17</v>
      </c>
      <c r="E339" s="1">
        <v>46200</v>
      </c>
      <c r="F339" s="2">
        <v>0.63541666666666663</v>
      </c>
      <c r="G339">
        <v>0</v>
      </c>
      <c r="H339">
        <v>51</v>
      </c>
      <c r="I339">
        <v>4080</v>
      </c>
      <c r="J339">
        <v>40.53</v>
      </c>
      <c r="K339" t="s">
        <v>649</v>
      </c>
      <c r="L339" t="s">
        <v>44</v>
      </c>
      <c r="M339" t="s">
        <v>20</v>
      </c>
      <c r="N339" t="s">
        <v>29</v>
      </c>
    </row>
    <row r="340" spans="1:14" x14ac:dyDescent="0.3">
      <c r="A340" t="s">
        <v>22</v>
      </c>
      <c r="B340" t="s">
        <v>23</v>
      </c>
      <c r="C340" t="s">
        <v>650</v>
      </c>
      <c r="D340" t="s">
        <v>47</v>
      </c>
      <c r="E340" s="1">
        <v>46180</v>
      </c>
      <c r="F340" s="2">
        <v>0.66666666666666663</v>
      </c>
      <c r="G340">
        <v>0</v>
      </c>
      <c r="H340">
        <v>44</v>
      </c>
      <c r="I340">
        <v>5280</v>
      </c>
      <c r="J340">
        <v>27.97</v>
      </c>
      <c r="K340" t="s">
        <v>651</v>
      </c>
      <c r="L340" t="s">
        <v>27</v>
      </c>
      <c r="M340" t="s">
        <v>20</v>
      </c>
      <c r="N340" t="s">
        <v>45</v>
      </c>
    </row>
    <row r="341" spans="1:14" x14ac:dyDescent="0.3">
      <c r="A341" t="s">
        <v>14</v>
      </c>
      <c r="B341" t="s">
        <v>15</v>
      </c>
      <c r="C341" t="s">
        <v>652</v>
      </c>
      <c r="D341" t="s">
        <v>33</v>
      </c>
      <c r="E341" s="1">
        <v>46184</v>
      </c>
      <c r="F341" s="2">
        <v>0.625</v>
      </c>
      <c r="G341">
        <v>0</v>
      </c>
      <c r="H341">
        <v>15</v>
      </c>
      <c r="I341">
        <v>1800</v>
      </c>
      <c r="J341">
        <v>24.44</v>
      </c>
      <c r="K341" t="s">
        <v>653</v>
      </c>
      <c r="L341" t="s">
        <v>37</v>
      </c>
      <c r="M341" t="s">
        <v>28</v>
      </c>
      <c r="N341" t="s">
        <v>29</v>
      </c>
    </row>
    <row r="342" spans="1:14" x14ac:dyDescent="0.3">
      <c r="A342" t="s">
        <v>71</v>
      </c>
      <c r="B342" t="s">
        <v>72</v>
      </c>
      <c r="C342" t="s">
        <v>654</v>
      </c>
      <c r="D342" t="s">
        <v>33</v>
      </c>
      <c r="E342" s="1">
        <v>46193</v>
      </c>
      <c r="F342" s="2">
        <v>0.8125</v>
      </c>
      <c r="G342">
        <v>0</v>
      </c>
      <c r="H342">
        <v>77</v>
      </c>
      <c r="I342">
        <v>6160</v>
      </c>
      <c r="J342">
        <v>25.1</v>
      </c>
      <c r="K342" t="s">
        <v>247</v>
      </c>
      <c r="L342" t="s">
        <v>44</v>
      </c>
      <c r="M342" t="s">
        <v>20</v>
      </c>
      <c r="N342" t="s">
        <v>45</v>
      </c>
    </row>
    <row r="343" spans="1:14" x14ac:dyDescent="0.3">
      <c r="A343" t="s">
        <v>14</v>
      </c>
      <c r="B343" t="s">
        <v>15</v>
      </c>
      <c r="C343" t="s">
        <v>655</v>
      </c>
      <c r="D343" t="s">
        <v>17</v>
      </c>
      <c r="E343" s="1">
        <v>46189</v>
      </c>
      <c r="F343" s="2">
        <v>0.29166666666666669</v>
      </c>
      <c r="G343">
        <v>27</v>
      </c>
      <c r="H343">
        <v>27</v>
      </c>
      <c r="I343">
        <v>2160</v>
      </c>
      <c r="J343">
        <v>36.520000000000003</v>
      </c>
      <c r="K343" t="s">
        <v>656</v>
      </c>
      <c r="L343" t="s">
        <v>27</v>
      </c>
      <c r="M343" t="s">
        <v>28</v>
      </c>
      <c r="N343" t="s">
        <v>21</v>
      </c>
    </row>
    <row r="344" spans="1:14" x14ac:dyDescent="0.3">
      <c r="A344" t="s">
        <v>30</v>
      </c>
      <c r="B344" t="s">
        <v>31</v>
      </c>
      <c r="C344" t="s">
        <v>408</v>
      </c>
      <c r="D344" t="s">
        <v>33</v>
      </c>
      <c r="E344" s="1">
        <v>46177</v>
      </c>
      <c r="F344" s="2">
        <v>0.875</v>
      </c>
      <c r="G344">
        <v>0</v>
      </c>
      <c r="H344">
        <v>82</v>
      </c>
      <c r="I344">
        <v>9840</v>
      </c>
      <c r="J344">
        <v>39.590000000000003</v>
      </c>
      <c r="K344" t="s">
        <v>657</v>
      </c>
      <c r="L344" t="s">
        <v>44</v>
      </c>
      <c r="M344" t="s">
        <v>28</v>
      </c>
      <c r="N344" t="s">
        <v>29</v>
      </c>
    </row>
    <row r="345" spans="1:14" x14ac:dyDescent="0.3">
      <c r="A345" t="s">
        <v>14</v>
      </c>
      <c r="B345" t="s">
        <v>15</v>
      </c>
      <c r="C345" t="s">
        <v>658</v>
      </c>
      <c r="D345" t="s">
        <v>33</v>
      </c>
      <c r="E345" s="1">
        <v>46179</v>
      </c>
      <c r="F345" s="2">
        <v>0.61458333333333337</v>
      </c>
      <c r="G345">
        <v>0</v>
      </c>
      <c r="H345">
        <v>38</v>
      </c>
      <c r="I345">
        <v>3800</v>
      </c>
      <c r="J345">
        <v>20.86</v>
      </c>
      <c r="K345" t="s">
        <v>229</v>
      </c>
      <c r="L345" t="s">
        <v>27</v>
      </c>
      <c r="M345" t="s">
        <v>20</v>
      </c>
      <c r="N345" t="s">
        <v>29</v>
      </c>
    </row>
    <row r="346" spans="1:14" x14ac:dyDescent="0.3">
      <c r="A346" t="s">
        <v>40</v>
      </c>
      <c r="B346" t="s">
        <v>41</v>
      </c>
      <c r="C346" t="s">
        <v>659</v>
      </c>
      <c r="D346" t="s">
        <v>17</v>
      </c>
      <c r="E346" s="1">
        <v>46199</v>
      </c>
      <c r="F346" s="2">
        <v>0.38541666666666669</v>
      </c>
      <c r="G346">
        <v>38</v>
      </c>
      <c r="H346">
        <v>68</v>
      </c>
      <c r="I346">
        <v>6800</v>
      </c>
      <c r="J346">
        <v>26.44</v>
      </c>
      <c r="K346" t="s">
        <v>660</v>
      </c>
      <c r="L346" t="s">
        <v>27</v>
      </c>
      <c r="M346" t="s">
        <v>28</v>
      </c>
      <c r="N346" t="s">
        <v>21</v>
      </c>
    </row>
    <row r="347" spans="1:14" x14ac:dyDescent="0.3">
      <c r="A347" t="s">
        <v>40</v>
      </c>
      <c r="B347" t="s">
        <v>41</v>
      </c>
      <c r="C347" t="s">
        <v>661</v>
      </c>
      <c r="D347" t="s">
        <v>25</v>
      </c>
      <c r="E347" s="1">
        <v>46195</v>
      </c>
      <c r="F347" s="2">
        <v>0.63541666666666663</v>
      </c>
      <c r="G347">
        <v>34</v>
      </c>
      <c r="H347">
        <v>56</v>
      </c>
      <c r="I347">
        <v>6720</v>
      </c>
      <c r="J347">
        <v>42.11</v>
      </c>
      <c r="K347" t="s">
        <v>662</v>
      </c>
      <c r="L347" t="s">
        <v>37</v>
      </c>
      <c r="M347" t="s">
        <v>28</v>
      </c>
      <c r="N347" t="s">
        <v>21</v>
      </c>
    </row>
    <row r="348" spans="1:14" x14ac:dyDescent="0.3">
      <c r="A348" t="s">
        <v>30</v>
      </c>
      <c r="B348" t="s">
        <v>31</v>
      </c>
      <c r="C348" t="s">
        <v>663</v>
      </c>
      <c r="D348" t="s">
        <v>17</v>
      </c>
      <c r="E348" s="1">
        <v>46199</v>
      </c>
      <c r="F348" s="2">
        <v>0.70833333333333337</v>
      </c>
      <c r="G348">
        <v>0</v>
      </c>
      <c r="H348">
        <v>26</v>
      </c>
      <c r="I348">
        <v>2600</v>
      </c>
      <c r="J348">
        <v>39.299999999999997</v>
      </c>
      <c r="K348" t="s">
        <v>399</v>
      </c>
      <c r="L348" t="s">
        <v>44</v>
      </c>
      <c r="M348" t="s">
        <v>28</v>
      </c>
      <c r="N348" t="s">
        <v>29</v>
      </c>
    </row>
    <row r="349" spans="1:14" x14ac:dyDescent="0.3">
      <c r="A349" t="s">
        <v>71</v>
      </c>
      <c r="B349" t="s">
        <v>72</v>
      </c>
      <c r="C349" t="s">
        <v>664</v>
      </c>
      <c r="D349" t="s">
        <v>25</v>
      </c>
      <c r="E349" s="1">
        <v>46176</v>
      </c>
      <c r="F349" s="2">
        <v>0.80208333333333337</v>
      </c>
      <c r="G349">
        <v>26</v>
      </c>
      <c r="H349">
        <v>31</v>
      </c>
      <c r="I349">
        <v>2480</v>
      </c>
      <c r="J349">
        <v>44.55</v>
      </c>
      <c r="K349" t="s">
        <v>665</v>
      </c>
      <c r="L349" t="s">
        <v>19</v>
      </c>
      <c r="M349" t="s">
        <v>28</v>
      </c>
      <c r="N349" t="s">
        <v>21</v>
      </c>
    </row>
    <row r="350" spans="1:14" x14ac:dyDescent="0.3">
      <c r="A350" t="s">
        <v>40</v>
      </c>
      <c r="B350" t="s">
        <v>41</v>
      </c>
      <c r="C350" t="s">
        <v>666</v>
      </c>
      <c r="D350" t="s">
        <v>47</v>
      </c>
      <c r="E350" s="1">
        <v>46182</v>
      </c>
      <c r="F350" s="2">
        <v>0.29166666666666669</v>
      </c>
      <c r="G350">
        <v>0</v>
      </c>
      <c r="H350">
        <v>77</v>
      </c>
      <c r="I350">
        <v>7700</v>
      </c>
      <c r="J350">
        <v>37.75</v>
      </c>
      <c r="K350" t="s">
        <v>667</v>
      </c>
      <c r="L350" t="s">
        <v>37</v>
      </c>
      <c r="M350" t="s">
        <v>28</v>
      </c>
      <c r="N350" t="s">
        <v>29</v>
      </c>
    </row>
    <row r="351" spans="1:14" x14ac:dyDescent="0.3">
      <c r="A351" t="s">
        <v>22</v>
      </c>
      <c r="B351" t="s">
        <v>23</v>
      </c>
      <c r="C351" t="s">
        <v>668</v>
      </c>
      <c r="D351" t="s">
        <v>25</v>
      </c>
      <c r="E351" s="1">
        <v>46201</v>
      </c>
      <c r="F351" s="2">
        <v>0.69791666666666663</v>
      </c>
      <c r="G351">
        <v>0</v>
      </c>
      <c r="H351">
        <v>78</v>
      </c>
      <c r="I351">
        <v>7800</v>
      </c>
      <c r="J351">
        <v>27.1</v>
      </c>
      <c r="K351" t="s">
        <v>669</v>
      </c>
      <c r="L351" t="s">
        <v>37</v>
      </c>
      <c r="M351" t="s">
        <v>20</v>
      </c>
      <c r="N351" t="s">
        <v>29</v>
      </c>
    </row>
    <row r="352" spans="1:14" x14ac:dyDescent="0.3">
      <c r="A352" t="s">
        <v>40</v>
      </c>
      <c r="B352" t="s">
        <v>41</v>
      </c>
      <c r="C352" t="s">
        <v>670</v>
      </c>
      <c r="D352" t="s">
        <v>25</v>
      </c>
      <c r="E352" s="1">
        <v>46183</v>
      </c>
      <c r="F352" s="2">
        <v>0.48958333333333331</v>
      </c>
      <c r="G352">
        <v>20</v>
      </c>
      <c r="H352">
        <v>46</v>
      </c>
      <c r="I352">
        <v>4600</v>
      </c>
      <c r="J352">
        <v>32.92</v>
      </c>
      <c r="K352" t="s">
        <v>671</v>
      </c>
      <c r="L352" t="s">
        <v>27</v>
      </c>
      <c r="M352" t="s">
        <v>28</v>
      </c>
      <c r="N352" t="s">
        <v>21</v>
      </c>
    </row>
    <row r="353" spans="1:14" x14ac:dyDescent="0.3">
      <c r="A353" t="s">
        <v>40</v>
      </c>
      <c r="B353" t="s">
        <v>41</v>
      </c>
      <c r="C353" t="s">
        <v>672</v>
      </c>
      <c r="D353" t="s">
        <v>47</v>
      </c>
      <c r="E353" s="1">
        <v>46187</v>
      </c>
      <c r="F353" s="2">
        <v>0.42708333333333331</v>
      </c>
      <c r="G353">
        <v>0</v>
      </c>
      <c r="H353">
        <v>58</v>
      </c>
      <c r="I353">
        <v>6960</v>
      </c>
      <c r="J353">
        <v>35</v>
      </c>
      <c r="K353" t="s">
        <v>673</v>
      </c>
      <c r="L353" t="s">
        <v>19</v>
      </c>
      <c r="M353" t="s">
        <v>20</v>
      </c>
      <c r="N353" t="s">
        <v>45</v>
      </c>
    </row>
    <row r="354" spans="1:14" x14ac:dyDescent="0.3">
      <c r="A354" t="s">
        <v>71</v>
      </c>
      <c r="B354" t="s">
        <v>72</v>
      </c>
      <c r="C354" t="s">
        <v>674</v>
      </c>
      <c r="D354" t="s">
        <v>25</v>
      </c>
      <c r="E354" s="1">
        <v>46184</v>
      </c>
      <c r="F354" s="2">
        <v>0.39583333333333331</v>
      </c>
      <c r="G354">
        <v>60</v>
      </c>
      <c r="H354">
        <v>22</v>
      </c>
      <c r="I354">
        <v>1760</v>
      </c>
      <c r="J354">
        <v>17.809999999999999</v>
      </c>
      <c r="K354" t="s">
        <v>675</v>
      </c>
      <c r="L354" t="s">
        <v>44</v>
      </c>
      <c r="M354" t="s">
        <v>28</v>
      </c>
      <c r="N354" t="s">
        <v>21</v>
      </c>
    </row>
    <row r="355" spans="1:14" x14ac:dyDescent="0.3">
      <c r="A355" t="s">
        <v>14</v>
      </c>
      <c r="B355" t="s">
        <v>15</v>
      </c>
      <c r="C355" t="s">
        <v>676</v>
      </c>
      <c r="D355" t="s">
        <v>17</v>
      </c>
      <c r="E355" s="1">
        <v>46191</v>
      </c>
      <c r="F355" s="2">
        <v>0.40625</v>
      </c>
      <c r="G355">
        <v>43</v>
      </c>
      <c r="H355">
        <v>43</v>
      </c>
      <c r="I355">
        <v>4300</v>
      </c>
      <c r="J355">
        <v>31.56</v>
      </c>
      <c r="K355" t="s">
        <v>229</v>
      </c>
      <c r="L355" t="s">
        <v>19</v>
      </c>
      <c r="M355" t="s">
        <v>28</v>
      </c>
      <c r="N355" t="s">
        <v>21</v>
      </c>
    </row>
    <row r="356" spans="1:14" x14ac:dyDescent="0.3">
      <c r="A356" t="s">
        <v>40</v>
      </c>
      <c r="B356" t="s">
        <v>41</v>
      </c>
      <c r="C356" t="s">
        <v>677</v>
      </c>
      <c r="D356" t="s">
        <v>25</v>
      </c>
      <c r="E356" s="1">
        <v>46195</v>
      </c>
      <c r="F356" s="2">
        <v>0.65625</v>
      </c>
      <c r="G356">
        <v>37</v>
      </c>
      <c r="H356">
        <v>62</v>
      </c>
      <c r="I356">
        <v>7440</v>
      </c>
      <c r="J356">
        <v>36.42</v>
      </c>
      <c r="K356" t="s">
        <v>678</v>
      </c>
      <c r="L356" t="s">
        <v>19</v>
      </c>
      <c r="M356" t="s">
        <v>28</v>
      </c>
      <c r="N356" t="s">
        <v>21</v>
      </c>
    </row>
    <row r="357" spans="1:14" x14ac:dyDescent="0.3">
      <c r="A357" t="s">
        <v>30</v>
      </c>
      <c r="B357" t="s">
        <v>31</v>
      </c>
      <c r="C357" t="s">
        <v>679</v>
      </c>
      <c r="D357" t="s">
        <v>47</v>
      </c>
      <c r="E357" s="1">
        <v>46185</v>
      </c>
      <c r="F357" s="2">
        <v>0.34375</v>
      </c>
      <c r="G357">
        <v>12</v>
      </c>
      <c r="H357">
        <v>60</v>
      </c>
      <c r="I357">
        <v>6000</v>
      </c>
      <c r="J357">
        <v>20.440000000000001</v>
      </c>
      <c r="K357" t="s">
        <v>680</v>
      </c>
      <c r="L357" t="s">
        <v>19</v>
      </c>
      <c r="M357" t="s">
        <v>28</v>
      </c>
      <c r="N357" t="s">
        <v>21</v>
      </c>
    </row>
    <row r="358" spans="1:14" x14ac:dyDescent="0.3">
      <c r="A358" t="s">
        <v>14</v>
      </c>
      <c r="B358" t="s">
        <v>15</v>
      </c>
      <c r="C358" t="s">
        <v>681</v>
      </c>
      <c r="D358" t="s">
        <v>17</v>
      </c>
      <c r="E358" s="1">
        <v>46196</v>
      </c>
      <c r="F358" s="2">
        <v>0.42708333333333331</v>
      </c>
      <c r="G358">
        <v>20</v>
      </c>
      <c r="H358">
        <v>12</v>
      </c>
      <c r="I358">
        <v>960</v>
      </c>
      <c r="J358">
        <v>38.53</v>
      </c>
      <c r="K358" t="s">
        <v>682</v>
      </c>
      <c r="L358" t="s">
        <v>19</v>
      </c>
      <c r="M358" t="s">
        <v>28</v>
      </c>
      <c r="N358" t="s">
        <v>21</v>
      </c>
    </row>
    <row r="359" spans="1:14" x14ac:dyDescent="0.3">
      <c r="A359" t="s">
        <v>22</v>
      </c>
      <c r="B359" t="s">
        <v>23</v>
      </c>
      <c r="C359" t="s">
        <v>683</v>
      </c>
      <c r="D359" t="s">
        <v>47</v>
      </c>
      <c r="E359" s="1">
        <v>46185</v>
      </c>
      <c r="F359" s="2">
        <v>0.5625</v>
      </c>
      <c r="G359">
        <v>0</v>
      </c>
      <c r="H359">
        <v>51</v>
      </c>
      <c r="I359">
        <v>5100</v>
      </c>
      <c r="J359">
        <v>32.72</v>
      </c>
      <c r="K359" t="s">
        <v>318</v>
      </c>
      <c r="L359" t="s">
        <v>19</v>
      </c>
      <c r="M359" t="s">
        <v>28</v>
      </c>
      <c r="N359" t="s">
        <v>29</v>
      </c>
    </row>
    <row r="360" spans="1:14" x14ac:dyDescent="0.3">
      <c r="A360" t="s">
        <v>71</v>
      </c>
      <c r="B360" t="s">
        <v>72</v>
      </c>
      <c r="C360" t="s">
        <v>684</v>
      </c>
      <c r="D360" t="s">
        <v>47</v>
      </c>
      <c r="E360" s="1">
        <v>46186</v>
      </c>
      <c r="F360" s="2">
        <v>0.63541666666666663</v>
      </c>
      <c r="G360">
        <v>0</v>
      </c>
      <c r="H360">
        <v>41</v>
      </c>
      <c r="I360">
        <v>3280</v>
      </c>
      <c r="J360">
        <v>43.59</v>
      </c>
      <c r="K360" t="s">
        <v>685</v>
      </c>
      <c r="L360" t="s">
        <v>27</v>
      </c>
      <c r="M360" t="s">
        <v>20</v>
      </c>
      <c r="N360" t="s">
        <v>29</v>
      </c>
    </row>
    <row r="361" spans="1:14" x14ac:dyDescent="0.3">
      <c r="A361" t="s">
        <v>22</v>
      </c>
      <c r="B361" t="s">
        <v>23</v>
      </c>
      <c r="C361" t="s">
        <v>686</v>
      </c>
      <c r="D361" t="s">
        <v>33</v>
      </c>
      <c r="E361" s="1">
        <v>46198</v>
      </c>
      <c r="F361" s="2">
        <v>0.82291666666666663</v>
      </c>
      <c r="G361">
        <v>0</v>
      </c>
      <c r="H361">
        <v>60</v>
      </c>
      <c r="I361">
        <v>6000</v>
      </c>
      <c r="J361">
        <v>16.75</v>
      </c>
      <c r="K361" t="s">
        <v>687</v>
      </c>
      <c r="L361" t="s">
        <v>27</v>
      </c>
      <c r="M361" t="s">
        <v>28</v>
      </c>
      <c r="N361" t="s">
        <v>29</v>
      </c>
    </row>
    <row r="362" spans="1:14" x14ac:dyDescent="0.3">
      <c r="A362" t="s">
        <v>14</v>
      </c>
      <c r="B362" t="s">
        <v>15</v>
      </c>
      <c r="C362" t="s">
        <v>688</v>
      </c>
      <c r="D362" t="s">
        <v>33</v>
      </c>
      <c r="E362" s="1">
        <v>46186</v>
      </c>
      <c r="F362" s="2">
        <v>0.78125</v>
      </c>
      <c r="G362">
        <v>0</v>
      </c>
      <c r="H362">
        <v>55</v>
      </c>
      <c r="I362">
        <v>4400</v>
      </c>
      <c r="J362">
        <v>23.33</v>
      </c>
      <c r="K362" t="s">
        <v>689</v>
      </c>
      <c r="L362" t="s">
        <v>37</v>
      </c>
      <c r="M362" t="s">
        <v>20</v>
      </c>
      <c r="N362" t="s">
        <v>29</v>
      </c>
    </row>
    <row r="363" spans="1:14" x14ac:dyDescent="0.3">
      <c r="A363" t="s">
        <v>14</v>
      </c>
      <c r="B363" t="s">
        <v>15</v>
      </c>
      <c r="C363" t="s">
        <v>690</v>
      </c>
      <c r="D363" t="s">
        <v>47</v>
      </c>
      <c r="E363" s="1">
        <v>46192</v>
      </c>
      <c r="F363" s="2">
        <v>0.9375</v>
      </c>
      <c r="G363">
        <v>57</v>
      </c>
      <c r="H363">
        <v>30</v>
      </c>
      <c r="I363">
        <v>3000</v>
      </c>
      <c r="J363">
        <v>33.25</v>
      </c>
      <c r="K363" t="s">
        <v>275</v>
      </c>
      <c r="L363" t="s">
        <v>27</v>
      </c>
      <c r="M363" t="s">
        <v>28</v>
      </c>
      <c r="N363" t="s">
        <v>21</v>
      </c>
    </row>
    <row r="364" spans="1:14" x14ac:dyDescent="0.3">
      <c r="A364" t="s">
        <v>14</v>
      </c>
      <c r="B364" t="s">
        <v>15</v>
      </c>
      <c r="C364" t="s">
        <v>376</v>
      </c>
      <c r="D364" t="s">
        <v>47</v>
      </c>
      <c r="E364" s="1">
        <v>46199</v>
      </c>
      <c r="F364" s="2">
        <v>0.53125</v>
      </c>
      <c r="G364">
        <v>0</v>
      </c>
      <c r="H364">
        <v>53</v>
      </c>
      <c r="I364">
        <v>4240</v>
      </c>
      <c r="J364">
        <v>24.25</v>
      </c>
      <c r="K364" t="s">
        <v>192</v>
      </c>
      <c r="L364" t="s">
        <v>37</v>
      </c>
      <c r="M364" t="s">
        <v>28</v>
      </c>
      <c r="N364" t="s">
        <v>45</v>
      </c>
    </row>
    <row r="365" spans="1:14" x14ac:dyDescent="0.3">
      <c r="A365" t="s">
        <v>22</v>
      </c>
      <c r="B365" t="s">
        <v>23</v>
      </c>
      <c r="C365" t="s">
        <v>691</v>
      </c>
      <c r="D365" t="s">
        <v>47</v>
      </c>
      <c r="E365" s="1">
        <v>46192</v>
      </c>
      <c r="F365" s="2">
        <v>0.8125</v>
      </c>
      <c r="G365">
        <v>0</v>
      </c>
      <c r="H365">
        <v>20</v>
      </c>
      <c r="I365">
        <v>2000</v>
      </c>
      <c r="J365">
        <v>36.58</v>
      </c>
      <c r="K365" t="s">
        <v>477</v>
      </c>
      <c r="L365" t="s">
        <v>37</v>
      </c>
      <c r="M365" t="s">
        <v>28</v>
      </c>
      <c r="N365" t="s">
        <v>29</v>
      </c>
    </row>
    <row r="366" spans="1:14" x14ac:dyDescent="0.3">
      <c r="A366" t="s">
        <v>14</v>
      </c>
      <c r="B366" t="s">
        <v>15</v>
      </c>
      <c r="C366" t="s">
        <v>692</v>
      </c>
      <c r="D366" t="s">
        <v>33</v>
      </c>
      <c r="E366" s="1">
        <v>46196</v>
      </c>
      <c r="F366" s="2">
        <v>0.44791666666666669</v>
      </c>
      <c r="G366">
        <v>48</v>
      </c>
      <c r="H366">
        <v>77</v>
      </c>
      <c r="I366">
        <v>7700</v>
      </c>
      <c r="J366">
        <v>37.89</v>
      </c>
      <c r="K366" t="s">
        <v>529</v>
      </c>
      <c r="L366" t="s">
        <v>44</v>
      </c>
      <c r="M366" t="s">
        <v>28</v>
      </c>
      <c r="N366" t="s">
        <v>21</v>
      </c>
    </row>
    <row r="367" spans="1:14" x14ac:dyDescent="0.3">
      <c r="A367" t="s">
        <v>22</v>
      </c>
      <c r="B367" t="s">
        <v>23</v>
      </c>
      <c r="C367" t="s">
        <v>693</v>
      </c>
      <c r="D367" t="s">
        <v>33</v>
      </c>
      <c r="E367" s="1">
        <v>46187</v>
      </c>
      <c r="F367" s="2">
        <v>0.40625</v>
      </c>
      <c r="G367">
        <v>39</v>
      </c>
      <c r="H367">
        <v>10</v>
      </c>
      <c r="I367">
        <v>1200</v>
      </c>
      <c r="J367">
        <v>18.52</v>
      </c>
      <c r="K367" t="s">
        <v>694</v>
      </c>
      <c r="L367" t="s">
        <v>19</v>
      </c>
      <c r="M367" t="s">
        <v>20</v>
      </c>
      <c r="N367" t="s">
        <v>21</v>
      </c>
    </row>
    <row r="368" spans="1:14" x14ac:dyDescent="0.3">
      <c r="A368" t="s">
        <v>14</v>
      </c>
      <c r="B368" t="s">
        <v>15</v>
      </c>
      <c r="C368" t="s">
        <v>695</v>
      </c>
      <c r="D368" t="s">
        <v>25</v>
      </c>
      <c r="E368" s="1">
        <v>46177</v>
      </c>
      <c r="F368" s="2">
        <v>0.30208333333333331</v>
      </c>
      <c r="G368">
        <v>17</v>
      </c>
      <c r="H368">
        <v>72</v>
      </c>
      <c r="I368">
        <v>8640</v>
      </c>
      <c r="J368">
        <v>30.66</v>
      </c>
      <c r="K368" t="s">
        <v>696</v>
      </c>
      <c r="L368" t="s">
        <v>27</v>
      </c>
      <c r="M368" t="s">
        <v>28</v>
      </c>
      <c r="N368" t="s">
        <v>21</v>
      </c>
    </row>
    <row r="369" spans="1:14" x14ac:dyDescent="0.3">
      <c r="A369" t="s">
        <v>30</v>
      </c>
      <c r="B369" t="s">
        <v>31</v>
      </c>
      <c r="C369" t="s">
        <v>697</v>
      </c>
      <c r="D369" t="s">
        <v>25</v>
      </c>
      <c r="E369" s="1">
        <v>46186</v>
      </c>
      <c r="F369" s="2">
        <v>0.9375</v>
      </c>
      <c r="G369">
        <v>60</v>
      </c>
      <c r="H369">
        <v>33</v>
      </c>
      <c r="I369">
        <v>2640</v>
      </c>
      <c r="J369">
        <v>30.51</v>
      </c>
      <c r="K369" t="s">
        <v>564</v>
      </c>
      <c r="L369" t="s">
        <v>44</v>
      </c>
      <c r="M369" t="s">
        <v>20</v>
      </c>
      <c r="N369" t="s">
        <v>21</v>
      </c>
    </row>
    <row r="370" spans="1:14" x14ac:dyDescent="0.3">
      <c r="A370" t="s">
        <v>14</v>
      </c>
      <c r="B370" t="s">
        <v>15</v>
      </c>
      <c r="C370" t="s">
        <v>698</v>
      </c>
      <c r="D370" t="s">
        <v>47</v>
      </c>
      <c r="E370" s="1">
        <v>46181</v>
      </c>
      <c r="F370" s="2">
        <v>0.8125</v>
      </c>
      <c r="G370">
        <v>0</v>
      </c>
      <c r="H370">
        <v>22</v>
      </c>
      <c r="I370">
        <v>2200</v>
      </c>
      <c r="J370">
        <v>26.39</v>
      </c>
      <c r="K370" t="s">
        <v>52</v>
      </c>
      <c r="L370" t="s">
        <v>27</v>
      </c>
      <c r="M370" t="s">
        <v>28</v>
      </c>
      <c r="N370" t="s">
        <v>29</v>
      </c>
    </row>
    <row r="371" spans="1:14" x14ac:dyDescent="0.3">
      <c r="A371" t="s">
        <v>22</v>
      </c>
      <c r="B371" t="s">
        <v>23</v>
      </c>
      <c r="C371" t="s">
        <v>699</v>
      </c>
      <c r="D371" t="s">
        <v>17</v>
      </c>
      <c r="E371" s="1">
        <v>46202</v>
      </c>
      <c r="F371" s="2">
        <v>0.78125</v>
      </c>
      <c r="G371">
        <v>57</v>
      </c>
      <c r="H371">
        <v>20</v>
      </c>
      <c r="I371">
        <v>1600</v>
      </c>
      <c r="J371">
        <v>43.02</v>
      </c>
      <c r="K371" t="s">
        <v>34</v>
      </c>
      <c r="L371" t="s">
        <v>37</v>
      </c>
      <c r="M371" t="s">
        <v>28</v>
      </c>
      <c r="N371" t="s">
        <v>21</v>
      </c>
    </row>
    <row r="372" spans="1:14" x14ac:dyDescent="0.3">
      <c r="A372" t="s">
        <v>40</v>
      </c>
      <c r="B372" t="s">
        <v>41</v>
      </c>
      <c r="C372" t="s">
        <v>700</v>
      </c>
      <c r="D372" t="s">
        <v>17</v>
      </c>
      <c r="E372" s="1">
        <v>46196</v>
      </c>
      <c r="F372" s="2">
        <v>0.45833333333333331</v>
      </c>
      <c r="G372">
        <v>41</v>
      </c>
      <c r="H372">
        <v>60</v>
      </c>
      <c r="I372">
        <v>7200</v>
      </c>
      <c r="J372">
        <v>39.909999999999997</v>
      </c>
      <c r="K372" t="s">
        <v>701</v>
      </c>
      <c r="L372" t="s">
        <v>27</v>
      </c>
      <c r="M372" t="s">
        <v>28</v>
      </c>
      <c r="N372" t="s">
        <v>21</v>
      </c>
    </row>
    <row r="373" spans="1:14" x14ac:dyDescent="0.3">
      <c r="A373" t="s">
        <v>14</v>
      </c>
      <c r="B373" t="s">
        <v>15</v>
      </c>
      <c r="C373" t="s">
        <v>702</v>
      </c>
      <c r="D373" t="s">
        <v>33</v>
      </c>
      <c r="E373" s="1">
        <v>46194</v>
      </c>
      <c r="F373" s="2">
        <v>0.40625</v>
      </c>
      <c r="G373">
        <v>31</v>
      </c>
      <c r="H373">
        <v>26</v>
      </c>
      <c r="I373">
        <v>2080</v>
      </c>
      <c r="J373">
        <v>36.07</v>
      </c>
      <c r="K373" t="s">
        <v>703</v>
      </c>
      <c r="L373" t="s">
        <v>19</v>
      </c>
      <c r="M373" t="s">
        <v>20</v>
      </c>
      <c r="N373" t="s">
        <v>21</v>
      </c>
    </row>
    <row r="374" spans="1:14" x14ac:dyDescent="0.3">
      <c r="A374" t="s">
        <v>40</v>
      </c>
      <c r="B374" t="s">
        <v>41</v>
      </c>
      <c r="C374" t="s">
        <v>704</v>
      </c>
      <c r="D374" t="s">
        <v>33</v>
      </c>
      <c r="E374" s="1">
        <v>46196</v>
      </c>
      <c r="F374" s="2">
        <v>0.875</v>
      </c>
      <c r="G374">
        <v>0</v>
      </c>
      <c r="H374">
        <v>33</v>
      </c>
      <c r="I374">
        <v>2640</v>
      </c>
      <c r="J374">
        <v>36.57</v>
      </c>
      <c r="K374" t="s">
        <v>705</v>
      </c>
      <c r="L374" t="s">
        <v>37</v>
      </c>
      <c r="M374" t="s">
        <v>28</v>
      </c>
      <c r="N374" t="s">
        <v>29</v>
      </c>
    </row>
    <row r="375" spans="1:14" x14ac:dyDescent="0.3">
      <c r="A375" t="s">
        <v>30</v>
      </c>
      <c r="B375" t="s">
        <v>31</v>
      </c>
      <c r="C375" t="s">
        <v>706</v>
      </c>
      <c r="D375" t="s">
        <v>33</v>
      </c>
      <c r="E375" s="1">
        <v>46192</v>
      </c>
      <c r="F375" s="2">
        <v>0.38541666666666669</v>
      </c>
      <c r="G375">
        <v>18</v>
      </c>
      <c r="H375">
        <v>28</v>
      </c>
      <c r="I375">
        <v>3360</v>
      </c>
      <c r="J375">
        <v>29.12</v>
      </c>
      <c r="K375" t="s">
        <v>707</v>
      </c>
      <c r="L375" t="s">
        <v>37</v>
      </c>
      <c r="M375" t="s">
        <v>28</v>
      </c>
      <c r="N375" t="s">
        <v>21</v>
      </c>
    </row>
    <row r="376" spans="1:14" x14ac:dyDescent="0.3">
      <c r="A376" t="s">
        <v>71</v>
      </c>
      <c r="B376" t="s">
        <v>72</v>
      </c>
      <c r="C376" t="s">
        <v>708</v>
      </c>
      <c r="D376" t="s">
        <v>47</v>
      </c>
      <c r="E376" s="1">
        <v>46185</v>
      </c>
      <c r="F376" s="2">
        <v>0.9375</v>
      </c>
      <c r="G376">
        <v>54</v>
      </c>
      <c r="H376">
        <v>46</v>
      </c>
      <c r="I376">
        <v>4600</v>
      </c>
      <c r="J376">
        <v>42.67</v>
      </c>
      <c r="K376" t="s">
        <v>709</v>
      </c>
      <c r="L376" t="s">
        <v>44</v>
      </c>
      <c r="M376" t="s">
        <v>28</v>
      </c>
      <c r="N376" t="s">
        <v>21</v>
      </c>
    </row>
    <row r="377" spans="1:14" x14ac:dyDescent="0.3">
      <c r="A377" t="s">
        <v>30</v>
      </c>
      <c r="B377" t="s">
        <v>31</v>
      </c>
      <c r="C377" t="s">
        <v>710</v>
      </c>
      <c r="D377" t="s">
        <v>17</v>
      </c>
      <c r="E377" s="1">
        <v>46191</v>
      </c>
      <c r="F377" s="2">
        <v>0.26041666666666669</v>
      </c>
      <c r="G377">
        <v>0</v>
      </c>
      <c r="H377">
        <v>17</v>
      </c>
      <c r="I377">
        <v>1360</v>
      </c>
      <c r="J377">
        <v>35.99</v>
      </c>
      <c r="K377" t="s">
        <v>182</v>
      </c>
      <c r="L377" t="s">
        <v>19</v>
      </c>
      <c r="M377" t="s">
        <v>28</v>
      </c>
      <c r="N377" t="s">
        <v>29</v>
      </c>
    </row>
    <row r="378" spans="1:14" x14ac:dyDescent="0.3">
      <c r="A378" t="s">
        <v>14</v>
      </c>
      <c r="B378" t="s">
        <v>15</v>
      </c>
      <c r="C378" t="s">
        <v>711</v>
      </c>
      <c r="D378" t="s">
        <v>25</v>
      </c>
      <c r="E378" s="1">
        <v>46179</v>
      </c>
      <c r="F378" s="2">
        <v>0.9375</v>
      </c>
      <c r="G378">
        <v>0</v>
      </c>
      <c r="H378">
        <v>37</v>
      </c>
      <c r="I378">
        <v>4440</v>
      </c>
      <c r="J378">
        <v>37</v>
      </c>
      <c r="K378" t="s">
        <v>712</v>
      </c>
      <c r="L378" t="s">
        <v>37</v>
      </c>
      <c r="M378" t="s">
        <v>20</v>
      </c>
      <c r="N378" t="s">
        <v>45</v>
      </c>
    </row>
    <row r="379" spans="1:14" x14ac:dyDescent="0.3">
      <c r="A379" t="s">
        <v>40</v>
      </c>
      <c r="B379" t="s">
        <v>41</v>
      </c>
      <c r="C379" t="s">
        <v>713</v>
      </c>
      <c r="D379" t="s">
        <v>47</v>
      </c>
      <c r="E379" s="1">
        <v>46191</v>
      </c>
      <c r="F379" s="2">
        <v>0.85416666666666663</v>
      </c>
      <c r="G379">
        <v>17</v>
      </c>
      <c r="H379">
        <v>14</v>
      </c>
      <c r="I379">
        <v>1400</v>
      </c>
      <c r="J379">
        <v>40.92</v>
      </c>
      <c r="K379" t="s">
        <v>714</v>
      </c>
      <c r="L379" t="s">
        <v>19</v>
      </c>
      <c r="M379" t="s">
        <v>28</v>
      </c>
      <c r="N379" t="s">
        <v>21</v>
      </c>
    </row>
    <row r="380" spans="1:14" x14ac:dyDescent="0.3">
      <c r="A380" t="s">
        <v>40</v>
      </c>
      <c r="B380" t="s">
        <v>41</v>
      </c>
      <c r="C380" t="s">
        <v>715</v>
      </c>
      <c r="D380" t="s">
        <v>25</v>
      </c>
      <c r="E380" s="1">
        <v>46192</v>
      </c>
      <c r="F380" s="2">
        <v>0.75</v>
      </c>
      <c r="G380">
        <v>63</v>
      </c>
      <c r="H380">
        <v>26</v>
      </c>
      <c r="I380">
        <v>3120</v>
      </c>
      <c r="J380">
        <v>23.59</v>
      </c>
      <c r="K380" t="s">
        <v>397</v>
      </c>
      <c r="L380" t="s">
        <v>27</v>
      </c>
      <c r="M380" t="s">
        <v>28</v>
      </c>
      <c r="N380" t="s">
        <v>21</v>
      </c>
    </row>
    <row r="381" spans="1:14" x14ac:dyDescent="0.3">
      <c r="A381" t="s">
        <v>22</v>
      </c>
      <c r="B381" t="s">
        <v>23</v>
      </c>
      <c r="C381" t="s">
        <v>716</v>
      </c>
      <c r="D381" t="s">
        <v>25</v>
      </c>
      <c r="E381" s="1">
        <v>46195</v>
      </c>
      <c r="F381" s="2">
        <v>0.92708333333333337</v>
      </c>
      <c r="G381">
        <v>0</v>
      </c>
      <c r="H381">
        <v>45</v>
      </c>
      <c r="I381">
        <v>3600</v>
      </c>
      <c r="J381">
        <v>39.31</v>
      </c>
      <c r="K381" t="s">
        <v>457</v>
      </c>
      <c r="L381" t="s">
        <v>19</v>
      </c>
      <c r="M381" t="s">
        <v>28</v>
      </c>
      <c r="N381" t="s">
        <v>45</v>
      </c>
    </row>
    <row r="382" spans="1:14" x14ac:dyDescent="0.3">
      <c r="A382" t="s">
        <v>40</v>
      </c>
      <c r="B382" t="s">
        <v>41</v>
      </c>
      <c r="C382" t="s">
        <v>717</v>
      </c>
      <c r="D382" t="s">
        <v>47</v>
      </c>
      <c r="E382" s="1">
        <v>46178</v>
      </c>
      <c r="F382" s="2">
        <v>0.40625</v>
      </c>
      <c r="G382">
        <v>0</v>
      </c>
      <c r="H382">
        <v>28</v>
      </c>
      <c r="I382">
        <v>2800</v>
      </c>
      <c r="J382">
        <v>21.26</v>
      </c>
      <c r="K382" t="s">
        <v>718</v>
      </c>
      <c r="L382" t="s">
        <v>37</v>
      </c>
      <c r="M382" t="s">
        <v>28</v>
      </c>
      <c r="N382" t="s">
        <v>45</v>
      </c>
    </row>
    <row r="383" spans="1:14" x14ac:dyDescent="0.3">
      <c r="A383" t="s">
        <v>22</v>
      </c>
      <c r="B383" t="s">
        <v>23</v>
      </c>
      <c r="C383" t="s">
        <v>719</v>
      </c>
      <c r="D383" t="s">
        <v>25</v>
      </c>
      <c r="E383" s="1">
        <v>46197</v>
      </c>
      <c r="F383" s="2">
        <v>0.89583333333333337</v>
      </c>
      <c r="G383">
        <v>0</v>
      </c>
      <c r="H383">
        <v>73</v>
      </c>
      <c r="I383">
        <v>7300</v>
      </c>
      <c r="J383">
        <v>25.69</v>
      </c>
      <c r="K383" t="s">
        <v>720</v>
      </c>
      <c r="L383" t="s">
        <v>44</v>
      </c>
      <c r="M383" t="s">
        <v>28</v>
      </c>
      <c r="N383" t="s">
        <v>29</v>
      </c>
    </row>
    <row r="384" spans="1:14" x14ac:dyDescent="0.3">
      <c r="A384" t="s">
        <v>71</v>
      </c>
      <c r="B384" t="s">
        <v>72</v>
      </c>
      <c r="C384" t="s">
        <v>721</v>
      </c>
      <c r="D384" t="s">
        <v>17</v>
      </c>
      <c r="E384" s="1">
        <v>46182</v>
      </c>
      <c r="F384" s="2">
        <v>0.84375</v>
      </c>
      <c r="G384">
        <v>0</v>
      </c>
      <c r="H384">
        <v>20</v>
      </c>
      <c r="I384">
        <v>2400</v>
      </c>
      <c r="J384">
        <v>25.4</v>
      </c>
      <c r="K384" t="s">
        <v>255</v>
      </c>
      <c r="L384" t="s">
        <v>37</v>
      </c>
      <c r="M384" t="s">
        <v>28</v>
      </c>
      <c r="N384" t="s">
        <v>45</v>
      </c>
    </row>
    <row r="385" spans="1:14" x14ac:dyDescent="0.3">
      <c r="A385" t="s">
        <v>14</v>
      </c>
      <c r="B385" t="s">
        <v>15</v>
      </c>
      <c r="C385" t="s">
        <v>722</v>
      </c>
      <c r="D385" t="s">
        <v>25</v>
      </c>
      <c r="E385" s="1">
        <v>46200</v>
      </c>
      <c r="F385" s="2">
        <v>0.84375</v>
      </c>
      <c r="G385">
        <v>54</v>
      </c>
      <c r="H385">
        <v>63</v>
      </c>
      <c r="I385">
        <v>7560</v>
      </c>
      <c r="J385">
        <v>44.37</v>
      </c>
      <c r="K385" t="s">
        <v>723</v>
      </c>
      <c r="L385" t="s">
        <v>19</v>
      </c>
      <c r="M385" t="s">
        <v>20</v>
      </c>
      <c r="N385" t="s">
        <v>21</v>
      </c>
    </row>
    <row r="386" spans="1:14" x14ac:dyDescent="0.3">
      <c r="A386" t="s">
        <v>22</v>
      </c>
      <c r="B386" t="s">
        <v>23</v>
      </c>
      <c r="C386" t="s">
        <v>724</v>
      </c>
      <c r="D386" t="s">
        <v>17</v>
      </c>
      <c r="E386" s="1">
        <v>46176</v>
      </c>
      <c r="F386" s="2">
        <v>0.6875</v>
      </c>
      <c r="G386">
        <v>49</v>
      </c>
      <c r="H386">
        <v>54</v>
      </c>
      <c r="I386">
        <v>6480</v>
      </c>
      <c r="J386">
        <v>40.770000000000003</v>
      </c>
      <c r="K386" t="s">
        <v>725</v>
      </c>
      <c r="L386" t="s">
        <v>19</v>
      </c>
      <c r="M386" t="s">
        <v>28</v>
      </c>
      <c r="N386" t="s">
        <v>21</v>
      </c>
    </row>
    <row r="387" spans="1:14" x14ac:dyDescent="0.3">
      <c r="A387" t="s">
        <v>71</v>
      </c>
      <c r="B387" t="s">
        <v>72</v>
      </c>
      <c r="C387" t="s">
        <v>726</v>
      </c>
      <c r="D387" t="s">
        <v>17</v>
      </c>
      <c r="E387" s="1">
        <v>46201</v>
      </c>
      <c r="F387" s="2">
        <v>0.59375</v>
      </c>
      <c r="G387">
        <v>16</v>
      </c>
      <c r="H387">
        <v>56</v>
      </c>
      <c r="I387">
        <v>5600</v>
      </c>
      <c r="J387">
        <v>36.18</v>
      </c>
      <c r="K387" t="s">
        <v>727</v>
      </c>
      <c r="L387" t="s">
        <v>37</v>
      </c>
      <c r="M387" t="s">
        <v>20</v>
      </c>
      <c r="N387" t="s">
        <v>21</v>
      </c>
    </row>
    <row r="388" spans="1:14" x14ac:dyDescent="0.3">
      <c r="A388" t="s">
        <v>40</v>
      </c>
      <c r="B388" t="s">
        <v>41</v>
      </c>
      <c r="C388" t="s">
        <v>728</v>
      </c>
      <c r="D388" t="s">
        <v>17</v>
      </c>
      <c r="E388" s="1">
        <v>46183</v>
      </c>
      <c r="F388" s="2">
        <v>0.875</v>
      </c>
      <c r="G388">
        <v>36</v>
      </c>
      <c r="H388">
        <v>21</v>
      </c>
      <c r="I388">
        <v>2100</v>
      </c>
      <c r="J388">
        <v>36.950000000000003</v>
      </c>
      <c r="K388" t="s">
        <v>729</v>
      </c>
      <c r="L388" t="s">
        <v>19</v>
      </c>
      <c r="M388" t="s">
        <v>28</v>
      </c>
      <c r="N388" t="s">
        <v>21</v>
      </c>
    </row>
    <row r="389" spans="1:14" x14ac:dyDescent="0.3">
      <c r="A389" t="s">
        <v>40</v>
      </c>
      <c r="B389" t="s">
        <v>41</v>
      </c>
      <c r="C389" t="s">
        <v>730</v>
      </c>
      <c r="D389" t="s">
        <v>33</v>
      </c>
      <c r="E389" s="1">
        <v>46192</v>
      </c>
      <c r="F389" s="2">
        <v>0.63541666666666663</v>
      </c>
      <c r="G389">
        <v>10</v>
      </c>
      <c r="H389">
        <v>30</v>
      </c>
      <c r="I389">
        <v>2400</v>
      </c>
      <c r="J389">
        <v>32.08</v>
      </c>
      <c r="K389" t="s">
        <v>731</v>
      </c>
      <c r="L389" t="s">
        <v>27</v>
      </c>
      <c r="M389" t="s">
        <v>28</v>
      </c>
      <c r="N389" t="s">
        <v>21</v>
      </c>
    </row>
    <row r="390" spans="1:14" x14ac:dyDescent="0.3">
      <c r="A390" t="s">
        <v>71</v>
      </c>
      <c r="B390" t="s">
        <v>72</v>
      </c>
      <c r="C390" t="s">
        <v>732</v>
      </c>
      <c r="D390" t="s">
        <v>25</v>
      </c>
      <c r="E390" s="1">
        <v>46176</v>
      </c>
      <c r="F390" s="2">
        <v>0.33333333333333331</v>
      </c>
      <c r="G390">
        <v>0</v>
      </c>
      <c r="H390">
        <v>20</v>
      </c>
      <c r="I390">
        <v>2000</v>
      </c>
      <c r="J390">
        <v>43.44</v>
      </c>
      <c r="K390" t="s">
        <v>531</v>
      </c>
      <c r="L390" t="s">
        <v>37</v>
      </c>
      <c r="M390" t="s">
        <v>28</v>
      </c>
      <c r="N390" t="s">
        <v>45</v>
      </c>
    </row>
    <row r="391" spans="1:14" x14ac:dyDescent="0.3">
      <c r="A391" t="s">
        <v>40</v>
      </c>
      <c r="B391" t="s">
        <v>41</v>
      </c>
      <c r="C391" t="s">
        <v>733</v>
      </c>
      <c r="D391" t="s">
        <v>47</v>
      </c>
      <c r="E391" s="1">
        <v>46202</v>
      </c>
      <c r="F391" s="2">
        <v>0.66666666666666663</v>
      </c>
      <c r="G391">
        <v>0</v>
      </c>
      <c r="H391">
        <v>14</v>
      </c>
      <c r="I391">
        <v>1120</v>
      </c>
      <c r="J391">
        <v>30.14</v>
      </c>
      <c r="K391" t="s">
        <v>151</v>
      </c>
      <c r="L391" t="s">
        <v>44</v>
      </c>
      <c r="M391" t="s">
        <v>28</v>
      </c>
      <c r="N391" t="s">
        <v>45</v>
      </c>
    </row>
    <row r="392" spans="1:14" x14ac:dyDescent="0.3">
      <c r="A392" t="s">
        <v>71</v>
      </c>
      <c r="B392" t="s">
        <v>72</v>
      </c>
      <c r="C392" t="s">
        <v>734</v>
      </c>
      <c r="D392" t="s">
        <v>47</v>
      </c>
      <c r="E392" s="1">
        <v>46202</v>
      </c>
      <c r="F392" s="2">
        <v>0.76041666666666663</v>
      </c>
      <c r="G392">
        <v>0</v>
      </c>
      <c r="H392">
        <v>65</v>
      </c>
      <c r="I392">
        <v>7800</v>
      </c>
      <c r="J392">
        <v>26.73</v>
      </c>
      <c r="K392" t="s">
        <v>735</v>
      </c>
      <c r="L392" t="s">
        <v>37</v>
      </c>
      <c r="M392" t="s">
        <v>28</v>
      </c>
      <c r="N392" t="s">
        <v>29</v>
      </c>
    </row>
    <row r="393" spans="1:14" x14ac:dyDescent="0.3">
      <c r="A393" t="s">
        <v>22</v>
      </c>
      <c r="B393" t="s">
        <v>23</v>
      </c>
      <c r="C393" t="s">
        <v>736</v>
      </c>
      <c r="D393" t="s">
        <v>25</v>
      </c>
      <c r="E393" s="1">
        <v>46195</v>
      </c>
      <c r="F393" s="2">
        <v>0.9375</v>
      </c>
      <c r="G393">
        <v>16</v>
      </c>
      <c r="H393">
        <v>29</v>
      </c>
      <c r="I393">
        <v>3480</v>
      </c>
      <c r="J393">
        <v>20.309999999999999</v>
      </c>
      <c r="K393" t="s">
        <v>737</v>
      </c>
      <c r="L393" t="s">
        <v>27</v>
      </c>
      <c r="M393" t="s">
        <v>28</v>
      </c>
      <c r="N393" t="s">
        <v>21</v>
      </c>
    </row>
    <row r="394" spans="1:14" x14ac:dyDescent="0.3">
      <c r="A394" t="s">
        <v>22</v>
      </c>
      <c r="B394" t="s">
        <v>23</v>
      </c>
      <c r="C394" t="s">
        <v>738</v>
      </c>
      <c r="D394" t="s">
        <v>33</v>
      </c>
      <c r="E394" s="1">
        <v>46188</v>
      </c>
      <c r="F394" s="2">
        <v>0.77083333333333337</v>
      </c>
      <c r="G394">
        <v>0</v>
      </c>
      <c r="H394">
        <v>50</v>
      </c>
      <c r="I394">
        <v>5000</v>
      </c>
      <c r="J394">
        <v>38.69</v>
      </c>
      <c r="K394" t="s">
        <v>43</v>
      </c>
      <c r="L394" t="s">
        <v>27</v>
      </c>
      <c r="M394" t="s">
        <v>28</v>
      </c>
      <c r="N394" t="s">
        <v>29</v>
      </c>
    </row>
    <row r="395" spans="1:14" x14ac:dyDescent="0.3">
      <c r="A395" t="s">
        <v>71</v>
      </c>
      <c r="B395" t="s">
        <v>72</v>
      </c>
      <c r="C395" t="s">
        <v>739</v>
      </c>
      <c r="D395" t="s">
        <v>33</v>
      </c>
      <c r="E395" s="1">
        <v>46174</v>
      </c>
      <c r="F395" s="2">
        <v>0.64583333333333337</v>
      </c>
      <c r="G395">
        <v>0</v>
      </c>
      <c r="H395">
        <v>55</v>
      </c>
      <c r="I395">
        <v>6600</v>
      </c>
      <c r="J395">
        <v>37.17</v>
      </c>
      <c r="K395" t="s">
        <v>740</v>
      </c>
      <c r="L395" t="s">
        <v>27</v>
      </c>
      <c r="M395" t="s">
        <v>28</v>
      </c>
      <c r="N395" t="s">
        <v>29</v>
      </c>
    </row>
    <row r="396" spans="1:14" x14ac:dyDescent="0.3">
      <c r="A396" t="s">
        <v>22</v>
      </c>
      <c r="B396" t="s">
        <v>23</v>
      </c>
      <c r="C396" t="s">
        <v>741</v>
      </c>
      <c r="D396" t="s">
        <v>17</v>
      </c>
      <c r="E396" s="1">
        <v>46180</v>
      </c>
      <c r="F396" s="2">
        <v>0.80208333333333337</v>
      </c>
      <c r="G396">
        <v>0</v>
      </c>
      <c r="H396">
        <v>21</v>
      </c>
      <c r="I396">
        <v>2520</v>
      </c>
      <c r="J396">
        <v>26.84</v>
      </c>
      <c r="K396" t="s">
        <v>742</v>
      </c>
      <c r="L396" t="s">
        <v>27</v>
      </c>
      <c r="M396" t="s">
        <v>20</v>
      </c>
      <c r="N396" t="s">
        <v>29</v>
      </c>
    </row>
    <row r="397" spans="1:14" x14ac:dyDescent="0.3">
      <c r="A397" t="s">
        <v>22</v>
      </c>
      <c r="B397" t="s">
        <v>23</v>
      </c>
      <c r="C397" t="s">
        <v>743</v>
      </c>
      <c r="D397" t="s">
        <v>25</v>
      </c>
      <c r="E397" s="1">
        <v>46185</v>
      </c>
      <c r="F397" s="2">
        <v>0.41666666666666669</v>
      </c>
      <c r="G397">
        <v>0</v>
      </c>
      <c r="H397">
        <v>79</v>
      </c>
      <c r="I397">
        <v>7900</v>
      </c>
      <c r="J397">
        <v>16.239999999999998</v>
      </c>
      <c r="K397" t="s">
        <v>744</v>
      </c>
      <c r="L397" t="s">
        <v>27</v>
      </c>
      <c r="M397" t="s">
        <v>28</v>
      </c>
      <c r="N397" t="s">
        <v>45</v>
      </c>
    </row>
    <row r="398" spans="1:14" x14ac:dyDescent="0.3">
      <c r="A398" t="s">
        <v>22</v>
      </c>
      <c r="B398" t="s">
        <v>23</v>
      </c>
      <c r="C398" t="s">
        <v>745</v>
      </c>
      <c r="D398" t="s">
        <v>25</v>
      </c>
      <c r="E398" s="1">
        <v>46190</v>
      </c>
      <c r="F398" s="2">
        <v>0.44791666666666669</v>
      </c>
      <c r="G398">
        <v>0</v>
      </c>
      <c r="H398">
        <v>26</v>
      </c>
      <c r="I398">
        <v>2080</v>
      </c>
      <c r="J398">
        <v>40.25</v>
      </c>
      <c r="K398" t="s">
        <v>118</v>
      </c>
      <c r="L398" t="s">
        <v>44</v>
      </c>
      <c r="M398" t="s">
        <v>28</v>
      </c>
      <c r="N398" t="s">
        <v>29</v>
      </c>
    </row>
    <row r="399" spans="1:14" x14ac:dyDescent="0.3">
      <c r="A399" t="s">
        <v>30</v>
      </c>
      <c r="B399" t="s">
        <v>31</v>
      </c>
      <c r="C399" t="s">
        <v>746</v>
      </c>
      <c r="D399" t="s">
        <v>47</v>
      </c>
      <c r="E399" s="1">
        <v>46203</v>
      </c>
      <c r="F399" s="2">
        <v>0.91666666666666663</v>
      </c>
      <c r="G399">
        <v>0</v>
      </c>
      <c r="H399">
        <v>28</v>
      </c>
      <c r="I399">
        <v>2800</v>
      </c>
      <c r="J399">
        <v>15.84</v>
      </c>
      <c r="K399" t="s">
        <v>747</v>
      </c>
      <c r="L399" t="s">
        <v>19</v>
      </c>
      <c r="M399" t="s">
        <v>28</v>
      </c>
      <c r="N399" t="s">
        <v>29</v>
      </c>
    </row>
    <row r="400" spans="1:14" x14ac:dyDescent="0.3">
      <c r="A400" t="s">
        <v>14</v>
      </c>
      <c r="B400" t="s">
        <v>15</v>
      </c>
      <c r="C400" t="s">
        <v>748</v>
      </c>
      <c r="D400" t="s">
        <v>25</v>
      </c>
      <c r="E400" s="1">
        <v>46194</v>
      </c>
      <c r="F400" s="2">
        <v>0.65625</v>
      </c>
      <c r="G400">
        <v>42</v>
      </c>
      <c r="H400">
        <v>35</v>
      </c>
      <c r="I400">
        <v>2800</v>
      </c>
      <c r="J400">
        <v>36.26</v>
      </c>
      <c r="K400" t="s">
        <v>749</v>
      </c>
      <c r="L400" t="s">
        <v>27</v>
      </c>
      <c r="M400" t="s">
        <v>20</v>
      </c>
      <c r="N400" t="s">
        <v>21</v>
      </c>
    </row>
    <row r="401" spans="1:14" x14ac:dyDescent="0.3">
      <c r="A401" t="s">
        <v>40</v>
      </c>
      <c r="B401" t="s">
        <v>41</v>
      </c>
      <c r="C401" t="s">
        <v>750</v>
      </c>
      <c r="D401" t="s">
        <v>33</v>
      </c>
      <c r="E401" s="1">
        <v>46199</v>
      </c>
      <c r="F401" s="2">
        <v>0.44791666666666669</v>
      </c>
      <c r="G401">
        <v>0</v>
      </c>
      <c r="H401">
        <v>57</v>
      </c>
      <c r="I401">
        <v>5700</v>
      </c>
      <c r="J401">
        <v>44.12</v>
      </c>
      <c r="K401" t="s">
        <v>621</v>
      </c>
      <c r="L401" t="s">
        <v>27</v>
      </c>
      <c r="M401" t="s">
        <v>28</v>
      </c>
      <c r="N401" t="s">
        <v>45</v>
      </c>
    </row>
    <row r="402" spans="1:14" x14ac:dyDescent="0.3">
      <c r="A402" t="s">
        <v>30</v>
      </c>
      <c r="B402" t="s">
        <v>31</v>
      </c>
      <c r="C402" t="s">
        <v>751</v>
      </c>
      <c r="D402" t="s">
        <v>25</v>
      </c>
      <c r="E402" s="1">
        <v>46202</v>
      </c>
      <c r="F402" s="2">
        <v>0.46875</v>
      </c>
      <c r="G402">
        <v>0</v>
      </c>
      <c r="H402">
        <v>61</v>
      </c>
      <c r="I402">
        <v>6100</v>
      </c>
      <c r="J402">
        <v>28.41</v>
      </c>
      <c r="K402" t="s">
        <v>116</v>
      </c>
      <c r="L402" t="s">
        <v>37</v>
      </c>
      <c r="M402" t="s">
        <v>28</v>
      </c>
      <c r="N402" t="s">
        <v>45</v>
      </c>
    </row>
    <row r="403" spans="1:14" x14ac:dyDescent="0.3">
      <c r="A403" t="s">
        <v>22</v>
      </c>
      <c r="B403" t="s">
        <v>23</v>
      </c>
      <c r="C403" t="s">
        <v>752</v>
      </c>
      <c r="D403" t="s">
        <v>47</v>
      </c>
      <c r="E403" s="1">
        <v>46197</v>
      </c>
      <c r="F403" s="2">
        <v>0.38541666666666669</v>
      </c>
      <c r="G403">
        <v>0</v>
      </c>
      <c r="H403">
        <v>79</v>
      </c>
      <c r="I403">
        <v>9480</v>
      </c>
      <c r="J403">
        <v>22.43</v>
      </c>
      <c r="K403" t="s">
        <v>359</v>
      </c>
      <c r="L403" t="s">
        <v>44</v>
      </c>
      <c r="M403" t="s">
        <v>28</v>
      </c>
      <c r="N403" t="s">
        <v>29</v>
      </c>
    </row>
    <row r="404" spans="1:14" x14ac:dyDescent="0.3">
      <c r="A404" t="s">
        <v>71</v>
      </c>
      <c r="B404" t="s">
        <v>72</v>
      </c>
      <c r="C404" t="s">
        <v>753</v>
      </c>
      <c r="D404" t="s">
        <v>17</v>
      </c>
      <c r="E404" s="1">
        <v>46193</v>
      </c>
      <c r="F404" s="2">
        <v>0.52083333333333337</v>
      </c>
      <c r="G404">
        <v>0</v>
      </c>
      <c r="H404">
        <v>64</v>
      </c>
      <c r="I404">
        <v>6400</v>
      </c>
      <c r="J404">
        <v>36.29</v>
      </c>
      <c r="K404" t="s">
        <v>92</v>
      </c>
      <c r="L404" t="s">
        <v>44</v>
      </c>
      <c r="M404" t="s">
        <v>20</v>
      </c>
      <c r="N404" t="s">
        <v>45</v>
      </c>
    </row>
    <row r="405" spans="1:14" x14ac:dyDescent="0.3">
      <c r="A405" t="s">
        <v>22</v>
      </c>
      <c r="B405" t="s">
        <v>23</v>
      </c>
      <c r="C405" t="s">
        <v>754</v>
      </c>
      <c r="D405" t="s">
        <v>47</v>
      </c>
      <c r="E405" s="1">
        <v>46178</v>
      </c>
      <c r="F405" s="2">
        <v>0.33333333333333331</v>
      </c>
      <c r="G405">
        <v>0</v>
      </c>
      <c r="H405">
        <v>84</v>
      </c>
      <c r="I405">
        <v>8400</v>
      </c>
      <c r="J405">
        <v>30.105</v>
      </c>
      <c r="K405" t="s">
        <v>118</v>
      </c>
      <c r="L405" t="s">
        <v>19</v>
      </c>
      <c r="M405" t="s">
        <v>28</v>
      </c>
      <c r="N405" t="s">
        <v>29</v>
      </c>
    </row>
    <row r="406" spans="1:14" x14ac:dyDescent="0.3">
      <c r="A406" t="s">
        <v>14</v>
      </c>
      <c r="B406" t="s">
        <v>15</v>
      </c>
      <c r="C406" t="s">
        <v>755</v>
      </c>
      <c r="D406" t="s">
        <v>47</v>
      </c>
      <c r="E406" s="1">
        <v>46177</v>
      </c>
      <c r="F406" s="2">
        <v>0.38541666666666669</v>
      </c>
      <c r="G406">
        <v>44</v>
      </c>
      <c r="H406">
        <v>42</v>
      </c>
      <c r="I406">
        <v>3360</v>
      </c>
      <c r="J406">
        <v>31.62</v>
      </c>
      <c r="K406" t="s">
        <v>756</v>
      </c>
      <c r="L406" t="s">
        <v>44</v>
      </c>
      <c r="M406" t="s">
        <v>28</v>
      </c>
      <c r="N406" t="s">
        <v>21</v>
      </c>
    </row>
    <row r="407" spans="1:14" x14ac:dyDescent="0.3">
      <c r="A407" t="s">
        <v>22</v>
      </c>
      <c r="B407" t="s">
        <v>23</v>
      </c>
      <c r="C407" t="s">
        <v>757</v>
      </c>
      <c r="D407" t="s">
        <v>17</v>
      </c>
      <c r="E407" s="1">
        <v>46201</v>
      </c>
      <c r="F407" s="2">
        <v>0.59375</v>
      </c>
      <c r="G407">
        <v>0</v>
      </c>
      <c r="H407">
        <v>71</v>
      </c>
      <c r="I407">
        <v>8520</v>
      </c>
      <c r="J407">
        <v>44.03</v>
      </c>
      <c r="K407" t="s">
        <v>175</v>
      </c>
      <c r="L407" t="s">
        <v>37</v>
      </c>
      <c r="M407" t="s">
        <v>20</v>
      </c>
      <c r="N407" t="s">
        <v>29</v>
      </c>
    </row>
    <row r="408" spans="1:14" x14ac:dyDescent="0.3">
      <c r="A408" t="s">
        <v>71</v>
      </c>
      <c r="B408" t="s">
        <v>72</v>
      </c>
      <c r="C408" t="s">
        <v>758</v>
      </c>
      <c r="D408" t="s">
        <v>47</v>
      </c>
      <c r="E408" s="1">
        <v>46185</v>
      </c>
      <c r="F408" s="2">
        <v>0.82291666666666663</v>
      </c>
      <c r="G408">
        <v>0</v>
      </c>
      <c r="H408">
        <v>32</v>
      </c>
      <c r="I408">
        <v>2560</v>
      </c>
      <c r="J408">
        <v>17.02</v>
      </c>
      <c r="K408" t="s">
        <v>759</v>
      </c>
      <c r="L408" t="s">
        <v>37</v>
      </c>
      <c r="M408" t="s">
        <v>28</v>
      </c>
      <c r="N408" t="s">
        <v>45</v>
      </c>
    </row>
    <row r="409" spans="1:14" x14ac:dyDescent="0.3">
      <c r="A409" t="s">
        <v>14</v>
      </c>
      <c r="B409" t="s">
        <v>15</v>
      </c>
      <c r="C409" t="s">
        <v>760</v>
      </c>
      <c r="D409" t="s">
        <v>47</v>
      </c>
      <c r="E409" s="1">
        <v>46203</v>
      </c>
      <c r="F409" s="2">
        <v>0.73958333333333337</v>
      </c>
      <c r="G409">
        <v>0</v>
      </c>
      <c r="H409">
        <v>24</v>
      </c>
      <c r="I409">
        <v>1920</v>
      </c>
      <c r="J409">
        <v>30.39</v>
      </c>
      <c r="K409" t="s">
        <v>439</v>
      </c>
      <c r="L409" t="s">
        <v>19</v>
      </c>
      <c r="M409" t="s">
        <v>28</v>
      </c>
      <c r="N409" t="s">
        <v>45</v>
      </c>
    </row>
    <row r="410" spans="1:14" x14ac:dyDescent="0.3">
      <c r="A410" t="s">
        <v>22</v>
      </c>
      <c r="B410" t="s">
        <v>23</v>
      </c>
      <c r="C410" t="s">
        <v>761</v>
      </c>
      <c r="D410" t="s">
        <v>25</v>
      </c>
      <c r="E410" s="1">
        <v>46193</v>
      </c>
      <c r="F410" s="2">
        <v>0.375</v>
      </c>
      <c r="G410">
        <v>0</v>
      </c>
      <c r="H410">
        <v>36</v>
      </c>
      <c r="I410">
        <v>4320</v>
      </c>
      <c r="J410">
        <v>36.69</v>
      </c>
      <c r="K410" t="s">
        <v>762</v>
      </c>
      <c r="L410" t="s">
        <v>37</v>
      </c>
      <c r="M410" t="s">
        <v>20</v>
      </c>
      <c r="N410" t="s">
        <v>29</v>
      </c>
    </row>
    <row r="411" spans="1:14" x14ac:dyDescent="0.3">
      <c r="A411" t="s">
        <v>14</v>
      </c>
      <c r="B411" t="s">
        <v>15</v>
      </c>
      <c r="C411" t="s">
        <v>763</v>
      </c>
      <c r="D411" t="s">
        <v>25</v>
      </c>
      <c r="E411" s="1">
        <v>46201</v>
      </c>
      <c r="F411" s="2">
        <v>0.71875</v>
      </c>
      <c r="G411">
        <v>0</v>
      </c>
      <c r="H411">
        <v>84</v>
      </c>
      <c r="I411">
        <v>10080</v>
      </c>
      <c r="J411">
        <v>40.950000000000003</v>
      </c>
      <c r="K411" t="s">
        <v>764</v>
      </c>
      <c r="L411" t="s">
        <v>27</v>
      </c>
      <c r="M411" t="s">
        <v>20</v>
      </c>
      <c r="N411" t="s">
        <v>29</v>
      </c>
    </row>
    <row r="412" spans="1:14" x14ac:dyDescent="0.3">
      <c r="A412" t="s">
        <v>40</v>
      </c>
      <c r="B412" t="s">
        <v>41</v>
      </c>
      <c r="C412" t="s">
        <v>557</v>
      </c>
      <c r="D412" t="s">
        <v>17</v>
      </c>
      <c r="E412" s="1">
        <v>46197</v>
      </c>
      <c r="F412" s="2">
        <v>0.52083333333333337</v>
      </c>
      <c r="G412">
        <v>0</v>
      </c>
      <c r="H412">
        <v>73</v>
      </c>
      <c r="I412">
        <v>8760</v>
      </c>
      <c r="J412">
        <v>20.79</v>
      </c>
      <c r="K412" t="s">
        <v>765</v>
      </c>
      <c r="L412" t="s">
        <v>27</v>
      </c>
      <c r="M412" t="s">
        <v>28</v>
      </c>
      <c r="N412" t="s">
        <v>29</v>
      </c>
    </row>
    <row r="413" spans="1:14" x14ac:dyDescent="0.3">
      <c r="A413" t="s">
        <v>40</v>
      </c>
      <c r="B413" t="s">
        <v>41</v>
      </c>
      <c r="C413" t="s">
        <v>766</v>
      </c>
      <c r="D413" t="s">
        <v>25</v>
      </c>
      <c r="E413" s="1">
        <v>46191</v>
      </c>
      <c r="F413" s="2">
        <v>0.82291666666666663</v>
      </c>
      <c r="G413">
        <v>56</v>
      </c>
      <c r="H413">
        <v>60</v>
      </c>
      <c r="I413">
        <v>6000</v>
      </c>
      <c r="J413">
        <v>39.1</v>
      </c>
      <c r="K413" t="s">
        <v>577</v>
      </c>
      <c r="L413" t="s">
        <v>37</v>
      </c>
      <c r="M413" t="s">
        <v>28</v>
      </c>
      <c r="N413" t="s">
        <v>21</v>
      </c>
    </row>
    <row r="414" spans="1:14" x14ac:dyDescent="0.3">
      <c r="A414" t="s">
        <v>22</v>
      </c>
      <c r="B414" t="s">
        <v>23</v>
      </c>
      <c r="C414" t="s">
        <v>767</v>
      </c>
      <c r="D414" t="s">
        <v>25</v>
      </c>
      <c r="E414" s="1">
        <v>46190</v>
      </c>
      <c r="F414" s="2">
        <v>0.65625</v>
      </c>
      <c r="G414">
        <v>0</v>
      </c>
      <c r="H414">
        <v>62</v>
      </c>
      <c r="I414">
        <v>7440</v>
      </c>
      <c r="J414">
        <v>31.8</v>
      </c>
      <c r="K414" t="s">
        <v>768</v>
      </c>
      <c r="L414" t="s">
        <v>19</v>
      </c>
      <c r="M414" t="s">
        <v>28</v>
      </c>
      <c r="N414" t="s">
        <v>45</v>
      </c>
    </row>
    <row r="415" spans="1:14" x14ac:dyDescent="0.3">
      <c r="A415" t="s">
        <v>14</v>
      </c>
      <c r="B415" t="s">
        <v>15</v>
      </c>
      <c r="C415" t="s">
        <v>769</v>
      </c>
      <c r="D415" t="s">
        <v>47</v>
      </c>
      <c r="E415" s="1">
        <v>46192</v>
      </c>
      <c r="F415" s="2">
        <v>0.88541666666666663</v>
      </c>
      <c r="G415">
        <v>0</v>
      </c>
      <c r="H415">
        <v>60</v>
      </c>
      <c r="I415">
        <v>7200</v>
      </c>
      <c r="J415">
        <v>27.2</v>
      </c>
      <c r="K415" t="s">
        <v>770</v>
      </c>
      <c r="L415" t="s">
        <v>44</v>
      </c>
      <c r="M415" t="s">
        <v>28</v>
      </c>
      <c r="N415" t="s">
        <v>45</v>
      </c>
    </row>
    <row r="416" spans="1:14" x14ac:dyDescent="0.3">
      <c r="A416" t="s">
        <v>71</v>
      </c>
      <c r="B416" t="s">
        <v>72</v>
      </c>
      <c r="C416" t="s">
        <v>217</v>
      </c>
      <c r="D416" t="s">
        <v>33</v>
      </c>
      <c r="E416" s="1">
        <v>46182</v>
      </c>
      <c r="F416" s="2">
        <v>0.625</v>
      </c>
      <c r="G416">
        <v>23</v>
      </c>
      <c r="H416">
        <v>56</v>
      </c>
      <c r="I416">
        <v>6720</v>
      </c>
      <c r="J416">
        <v>19.39</v>
      </c>
      <c r="K416" t="s">
        <v>231</v>
      </c>
      <c r="L416" t="s">
        <v>19</v>
      </c>
      <c r="M416" t="s">
        <v>28</v>
      </c>
      <c r="N416" t="s">
        <v>21</v>
      </c>
    </row>
    <row r="417" spans="1:14" x14ac:dyDescent="0.3">
      <c r="A417" t="s">
        <v>22</v>
      </c>
      <c r="B417" t="s">
        <v>23</v>
      </c>
      <c r="C417" t="s">
        <v>771</v>
      </c>
      <c r="D417" t="s">
        <v>25</v>
      </c>
      <c r="E417" s="1">
        <v>46177</v>
      </c>
      <c r="F417" s="2">
        <v>0.76041666666666663</v>
      </c>
      <c r="G417">
        <v>0</v>
      </c>
      <c r="H417">
        <v>13</v>
      </c>
      <c r="I417">
        <v>1040</v>
      </c>
      <c r="J417">
        <v>41.03</v>
      </c>
      <c r="K417" t="s">
        <v>772</v>
      </c>
      <c r="L417" t="s">
        <v>44</v>
      </c>
      <c r="M417" t="s">
        <v>28</v>
      </c>
      <c r="N417" t="s">
        <v>29</v>
      </c>
    </row>
    <row r="418" spans="1:14" x14ac:dyDescent="0.3">
      <c r="A418" t="s">
        <v>40</v>
      </c>
      <c r="B418" t="s">
        <v>41</v>
      </c>
      <c r="C418" t="s">
        <v>773</v>
      </c>
      <c r="D418" t="s">
        <v>33</v>
      </c>
      <c r="E418" s="1">
        <v>46199</v>
      </c>
      <c r="F418" s="2">
        <v>0.70833333333333337</v>
      </c>
      <c r="G418">
        <v>40</v>
      </c>
      <c r="H418">
        <v>16</v>
      </c>
      <c r="I418">
        <v>1280</v>
      </c>
      <c r="J418">
        <v>20.14</v>
      </c>
      <c r="K418" t="s">
        <v>401</v>
      </c>
      <c r="L418" t="s">
        <v>37</v>
      </c>
      <c r="M418" t="s">
        <v>28</v>
      </c>
      <c r="N418" t="s">
        <v>21</v>
      </c>
    </row>
    <row r="419" spans="1:14" x14ac:dyDescent="0.3">
      <c r="A419" t="s">
        <v>40</v>
      </c>
      <c r="B419" t="s">
        <v>41</v>
      </c>
      <c r="C419" t="s">
        <v>774</v>
      </c>
      <c r="D419" t="s">
        <v>25</v>
      </c>
      <c r="E419" s="1">
        <v>46194</v>
      </c>
      <c r="F419" s="2">
        <v>0.78125</v>
      </c>
      <c r="G419">
        <v>0</v>
      </c>
      <c r="H419">
        <v>44</v>
      </c>
      <c r="I419">
        <v>4400</v>
      </c>
      <c r="J419">
        <v>24.64</v>
      </c>
      <c r="K419" t="s">
        <v>775</v>
      </c>
      <c r="L419" t="s">
        <v>37</v>
      </c>
      <c r="M419" t="s">
        <v>20</v>
      </c>
      <c r="N419" t="s">
        <v>29</v>
      </c>
    </row>
    <row r="420" spans="1:14" x14ac:dyDescent="0.3">
      <c r="A420" t="s">
        <v>22</v>
      </c>
      <c r="B420" t="s">
        <v>23</v>
      </c>
      <c r="C420" t="s">
        <v>776</v>
      </c>
      <c r="D420" t="s">
        <v>25</v>
      </c>
      <c r="E420" s="1">
        <v>46175</v>
      </c>
      <c r="F420" s="2">
        <v>0.69791666666666663</v>
      </c>
      <c r="G420">
        <v>0</v>
      </c>
      <c r="H420">
        <v>57</v>
      </c>
      <c r="I420">
        <v>4560</v>
      </c>
      <c r="J420">
        <v>24.06</v>
      </c>
      <c r="K420" t="s">
        <v>777</v>
      </c>
      <c r="L420" t="s">
        <v>27</v>
      </c>
      <c r="M420" t="s">
        <v>28</v>
      </c>
      <c r="N420" t="s">
        <v>29</v>
      </c>
    </row>
    <row r="421" spans="1:14" x14ac:dyDescent="0.3">
      <c r="A421" t="s">
        <v>14</v>
      </c>
      <c r="B421" t="s">
        <v>15</v>
      </c>
      <c r="C421" t="s">
        <v>778</v>
      </c>
      <c r="D421" t="s">
        <v>17</v>
      </c>
      <c r="E421" s="1">
        <v>46177</v>
      </c>
      <c r="F421" s="2">
        <v>0.66666666666666663</v>
      </c>
      <c r="G421">
        <v>33</v>
      </c>
      <c r="H421">
        <v>82</v>
      </c>
      <c r="I421">
        <v>8200</v>
      </c>
      <c r="J421">
        <v>41.21</v>
      </c>
      <c r="K421" t="s">
        <v>429</v>
      </c>
      <c r="L421" t="s">
        <v>44</v>
      </c>
      <c r="M421" t="s">
        <v>28</v>
      </c>
      <c r="N421" t="s">
        <v>21</v>
      </c>
    </row>
    <row r="422" spans="1:14" x14ac:dyDescent="0.3">
      <c r="A422" t="s">
        <v>40</v>
      </c>
      <c r="B422" t="s">
        <v>41</v>
      </c>
      <c r="C422" t="s">
        <v>779</v>
      </c>
      <c r="D422" t="s">
        <v>17</v>
      </c>
      <c r="E422" s="1">
        <v>46175</v>
      </c>
      <c r="F422" s="2">
        <v>0.38541666666666669</v>
      </c>
      <c r="G422">
        <v>0</v>
      </c>
      <c r="H422">
        <v>81</v>
      </c>
      <c r="I422">
        <v>6480</v>
      </c>
      <c r="J422">
        <v>35.340000000000003</v>
      </c>
      <c r="K422" t="s">
        <v>780</v>
      </c>
      <c r="L422" t="s">
        <v>19</v>
      </c>
      <c r="M422" t="s">
        <v>28</v>
      </c>
      <c r="N422" t="s">
        <v>45</v>
      </c>
    </row>
    <row r="423" spans="1:14" x14ac:dyDescent="0.3">
      <c r="A423" t="s">
        <v>14</v>
      </c>
      <c r="B423" t="s">
        <v>15</v>
      </c>
      <c r="C423" t="s">
        <v>781</v>
      </c>
      <c r="D423" t="s">
        <v>17</v>
      </c>
      <c r="E423" s="1">
        <v>46188</v>
      </c>
      <c r="F423" s="2">
        <v>0.27083333333333331</v>
      </c>
      <c r="G423">
        <v>0</v>
      </c>
      <c r="H423">
        <v>54</v>
      </c>
      <c r="I423">
        <v>6480</v>
      </c>
      <c r="J423">
        <v>39</v>
      </c>
      <c r="K423" t="s">
        <v>782</v>
      </c>
      <c r="L423" t="s">
        <v>37</v>
      </c>
      <c r="M423" t="s">
        <v>28</v>
      </c>
      <c r="N423" t="s">
        <v>29</v>
      </c>
    </row>
    <row r="424" spans="1:14" x14ac:dyDescent="0.3">
      <c r="A424" t="s">
        <v>40</v>
      </c>
      <c r="B424" t="s">
        <v>41</v>
      </c>
      <c r="C424" t="s">
        <v>783</v>
      </c>
      <c r="D424" t="s">
        <v>33</v>
      </c>
      <c r="E424" s="1">
        <v>46175</v>
      </c>
      <c r="F424" s="2">
        <v>0.51041666666666663</v>
      </c>
      <c r="G424">
        <v>0</v>
      </c>
      <c r="H424">
        <v>81</v>
      </c>
      <c r="I424">
        <v>6480</v>
      </c>
      <c r="J424">
        <v>22.89</v>
      </c>
      <c r="K424" t="s">
        <v>625</v>
      </c>
      <c r="L424" t="s">
        <v>19</v>
      </c>
      <c r="M424" t="s">
        <v>28</v>
      </c>
      <c r="N424" t="s">
        <v>45</v>
      </c>
    </row>
    <row r="425" spans="1:14" x14ac:dyDescent="0.3">
      <c r="A425" t="s">
        <v>40</v>
      </c>
      <c r="B425" t="s">
        <v>41</v>
      </c>
      <c r="C425" t="s">
        <v>784</v>
      </c>
      <c r="D425" t="s">
        <v>47</v>
      </c>
      <c r="E425" s="1">
        <v>46177</v>
      </c>
      <c r="F425" s="2">
        <v>0.84375</v>
      </c>
      <c r="G425">
        <v>0</v>
      </c>
      <c r="H425">
        <v>28</v>
      </c>
      <c r="I425">
        <v>2800</v>
      </c>
      <c r="J425">
        <v>33.93</v>
      </c>
      <c r="K425" t="s">
        <v>785</v>
      </c>
      <c r="L425" t="s">
        <v>27</v>
      </c>
      <c r="M425" t="s">
        <v>28</v>
      </c>
      <c r="N425" t="s">
        <v>29</v>
      </c>
    </row>
    <row r="426" spans="1:14" x14ac:dyDescent="0.3">
      <c r="A426" t="s">
        <v>30</v>
      </c>
      <c r="B426" t="s">
        <v>31</v>
      </c>
      <c r="C426" t="s">
        <v>786</v>
      </c>
      <c r="D426" t="s">
        <v>25</v>
      </c>
      <c r="E426" s="1">
        <v>46179</v>
      </c>
      <c r="F426" s="2">
        <v>0.69791666666666663</v>
      </c>
      <c r="G426">
        <v>0</v>
      </c>
      <c r="H426">
        <v>72</v>
      </c>
      <c r="I426">
        <v>5760</v>
      </c>
      <c r="J426">
        <v>32.369999999999997</v>
      </c>
      <c r="K426" t="s">
        <v>787</v>
      </c>
      <c r="L426" t="s">
        <v>44</v>
      </c>
      <c r="M426" t="s">
        <v>20</v>
      </c>
      <c r="N426" t="s">
        <v>45</v>
      </c>
    </row>
    <row r="427" spans="1:14" x14ac:dyDescent="0.3">
      <c r="A427" t="s">
        <v>40</v>
      </c>
      <c r="B427" t="s">
        <v>41</v>
      </c>
      <c r="C427" t="s">
        <v>788</v>
      </c>
      <c r="D427" t="s">
        <v>25</v>
      </c>
      <c r="E427" s="1">
        <v>46180</v>
      </c>
      <c r="F427" s="2">
        <v>0.86458333333333337</v>
      </c>
      <c r="G427">
        <v>23</v>
      </c>
      <c r="H427">
        <v>47</v>
      </c>
      <c r="I427">
        <v>5640</v>
      </c>
      <c r="J427">
        <v>40.07</v>
      </c>
      <c r="K427" t="s">
        <v>789</v>
      </c>
      <c r="L427" t="s">
        <v>44</v>
      </c>
      <c r="M427" t="s">
        <v>20</v>
      </c>
      <c r="N427" t="s">
        <v>21</v>
      </c>
    </row>
    <row r="428" spans="1:14" x14ac:dyDescent="0.3">
      <c r="A428" t="s">
        <v>71</v>
      </c>
      <c r="B428" t="s">
        <v>72</v>
      </c>
      <c r="C428" t="s">
        <v>790</v>
      </c>
      <c r="D428" t="s">
        <v>25</v>
      </c>
      <c r="E428" s="1">
        <v>46183</v>
      </c>
      <c r="F428" s="2">
        <v>0.5</v>
      </c>
      <c r="G428">
        <v>59</v>
      </c>
      <c r="H428">
        <v>76</v>
      </c>
      <c r="I428">
        <v>7600</v>
      </c>
      <c r="J428">
        <v>42.23</v>
      </c>
      <c r="K428" t="s">
        <v>791</v>
      </c>
      <c r="L428" t="s">
        <v>37</v>
      </c>
      <c r="M428" t="s">
        <v>28</v>
      </c>
      <c r="N428" t="s">
        <v>21</v>
      </c>
    </row>
    <row r="429" spans="1:14" x14ac:dyDescent="0.3">
      <c r="A429" t="s">
        <v>22</v>
      </c>
      <c r="B429" t="s">
        <v>23</v>
      </c>
      <c r="C429" t="s">
        <v>792</v>
      </c>
      <c r="D429" t="s">
        <v>33</v>
      </c>
      <c r="E429" s="1">
        <v>46192</v>
      </c>
      <c r="F429" s="2">
        <v>0.63541666666666663</v>
      </c>
      <c r="G429">
        <v>0</v>
      </c>
      <c r="H429">
        <v>68</v>
      </c>
      <c r="I429">
        <v>8160</v>
      </c>
      <c r="J429">
        <v>15.86</v>
      </c>
      <c r="K429" t="s">
        <v>173</v>
      </c>
      <c r="L429" t="s">
        <v>44</v>
      </c>
      <c r="M429" t="s">
        <v>28</v>
      </c>
      <c r="N429" t="s">
        <v>29</v>
      </c>
    </row>
    <row r="430" spans="1:14" x14ac:dyDescent="0.3">
      <c r="A430" t="s">
        <v>22</v>
      </c>
      <c r="B430" t="s">
        <v>23</v>
      </c>
      <c r="C430" t="s">
        <v>793</v>
      </c>
      <c r="D430" t="s">
        <v>17</v>
      </c>
      <c r="E430" s="1">
        <v>46192</v>
      </c>
      <c r="F430" s="2">
        <v>0.73958333333333337</v>
      </c>
      <c r="G430">
        <v>0</v>
      </c>
      <c r="H430">
        <v>78</v>
      </c>
      <c r="I430">
        <v>9360</v>
      </c>
      <c r="J430">
        <v>35.380000000000003</v>
      </c>
      <c r="K430" t="s">
        <v>439</v>
      </c>
      <c r="L430" t="s">
        <v>37</v>
      </c>
      <c r="M430" t="s">
        <v>28</v>
      </c>
      <c r="N430" t="s">
        <v>45</v>
      </c>
    </row>
    <row r="431" spans="1:14" x14ac:dyDescent="0.3">
      <c r="A431" t="s">
        <v>14</v>
      </c>
      <c r="B431" t="s">
        <v>15</v>
      </c>
      <c r="C431" t="s">
        <v>794</v>
      </c>
      <c r="D431" t="s">
        <v>47</v>
      </c>
      <c r="E431" s="1">
        <v>46199</v>
      </c>
      <c r="F431" s="2">
        <v>0.79166666666666663</v>
      </c>
      <c r="G431">
        <v>0</v>
      </c>
      <c r="H431">
        <v>22</v>
      </c>
      <c r="I431">
        <v>2200</v>
      </c>
      <c r="J431">
        <v>17.03</v>
      </c>
      <c r="K431" t="s">
        <v>86</v>
      </c>
      <c r="L431" t="s">
        <v>27</v>
      </c>
      <c r="M431" t="s">
        <v>28</v>
      </c>
      <c r="N431" t="s">
        <v>29</v>
      </c>
    </row>
    <row r="432" spans="1:14" x14ac:dyDescent="0.3">
      <c r="A432" t="s">
        <v>40</v>
      </c>
      <c r="B432" t="s">
        <v>41</v>
      </c>
      <c r="C432" t="s">
        <v>795</v>
      </c>
      <c r="D432" t="s">
        <v>33</v>
      </c>
      <c r="E432" s="1">
        <v>46195</v>
      </c>
      <c r="F432" s="2">
        <v>0.42708333333333331</v>
      </c>
      <c r="G432">
        <v>36</v>
      </c>
      <c r="H432">
        <v>56</v>
      </c>
      <c r="I432">
        <v>6720</v>
      </c>
      <c r="J432">
        <v>31.69</v>
      </c>
      <c r="K432" t="s">
        <v>796</v>
      </c>
      <c r="L432" t="s">
        <v>44</v>
      </c>
      <c r="M432" t="s">
        <v>28</v>
      </c>
      <c r="N432" t="s">
        <v>21</v>
      </c>
    </row>
    <row r="433" spans="1:14" x14ac:dyDescent="0.3">
      <c r="A433" t="s">
        <v>71</v>
      </c>
      <c r="B433" t="s">
        <v>72</v>
      </c>
      <c r="C433" t="s">
        <v>797</v>
      </c>
      <c r="D433" t="s">
        <v>17</v>
      </c>
      <c r="E433" s="1">
        <v>46202</v>
      </c>
      <c r="F433" s="2">
        <v>0.4375</v>
      </c>
      <c r="G433">
        <v>24</v>
      </c>
      <c r="H433">
        <v>70</v>
      </c>
      <c r="I433">
        <v>8400</v>
      </c>
      <c r="J433">
        <v>23.99</v>
      </c>
      <c r="K433" t="s">
        <v>564</v>
      </c>
      <c r="L433" t="s">
        <v>37</v>
      </c>
      <c r="M433" t="s">
        <v>28</v>
      </c>
      <c r="N433" t="s">
        <v>21</v>
      </c>
    </row>
    <row r="434" spans="1:14" x14ac:dyDescent="0.3">
      <c r="A434" t="s">
        <v>14</v>
      </c>
      <c r="B434" t="s">
        <v>15</v>
      </c>
      <c r="C434" t="s">
        <v>798</v>
      </c>
      <c r="D434" t="s">
        <v>33</v>
      </c>
      <c r="E434" s="1">
        <v>46185</v>
      </c>
      <c r="F434" s="2">
        <v>0.44791666666666669</v>
      </c>
      <c r="G434">
        <v>0</v>
      </c>
      <c r="H434">
        <v>40</v>
      </c>
      <c r="I434">
        <v>3200</v>
      </c>
      <c r="J434">
        <v>24.55</v>
      </c>
      <c r="K434" t="s">
        <v>799</v>
      </c>
      <c r="L434" t="s">
        <v>19</v>
      </c>
      <c r="M434" t="s">
        <v>28</v>
      </c>
      <c r="N434" t="s">
        <v>29</v>
      </c>
    </row>
    <row r="435" spans="1:14" x14ac:dyDescent="0.3">
      <c r="A435" t="s">
        <v>30</v>
      </c>
      <c r="B435" t="s">
        <v>31</v>
      </c>
      <c r="C435" t="s">
        <v>800</v>
      </c>
      <c r="D435" t="s">
        <v>47</v>
      </c>
      <c r="E435" s="1">
        <v>46176</v>
      </c>
      <c r="F435" s="2">
        <v>0.9375</v>
      </c>
      <c r="G435">
        <v>45</v>
      </c>
      <c r="H435">
        <v>31</v>
      </c>
      <c r="I435">
        <v>3720</v>
      </c>
      <c r="J435">
        <v>25.91</v>
      </c>
      <c r="K435" t="s">
        <v>801</v>
      </c>
      <c r="L435" t="s">
        <v>37</v>
      </c>
      <c r="M435" t="s">
        <v>28</v>
      </c>
      <c r="N435" t="s">
        <v>21</v>
      </c>
    </row>
    <row r="436" spans="1:14" x14ac:dyDescent="0.3">
      <c r="A436" t="s">
        <v>14</v>
      </c>
      <c r="B436" t="s">
        <v>15</v>
      </c>
      <c r="C436" t="s">
        <v>802</v>
      </c>
      <c r="D436" t="s">
        <v>17</v>
      </c>
      <c r="E436" s="1">
        <v>46186</v>
      </c>
      <c r="F436" s="2">
        <v>0.70833333333333337</v>
      </c>
      <c r="G436">
        <v>0</v>
      </c>
      <c r="H436">
        <v>52</v>
      </c>
      <c r="I436">
        <v>6240</v>
      </c>
      <c r="J436">
        <v>33.83</v>
      </c>
      <c r="K436" t="s">
        <v>208</v>
      </c>
      <c r="L436" t="s">
        <v>44</v>
      </c>
      <c r="M436" t="s">
        <v>20</v>
      </c>
      <c r="N436" t="s">
        <v>29</v>
      </c>
    </row>
    <row r="437" spans="1:14" x14ac:dyDescent="0.3">
      <c r="A437" t="s">
        <v>14</v>
      </c>
      <c r="B437" t="s">
        <v>15</v>
      </c>
      <c r="C437" t="s">
        <v>803</v>
      </c>
      <c r="D437" t="s">
        <v>33</v>
      </c>
      <c r="E437" s="1">
        <v>46191</v>
      </c>
      <c r="F437" s="2">
        <v>0.58333333333333337</v>
      </c>
      <c r="G437">
        <v>0</v>
      </c>
      <c r="H437">
        <v>76</v>
      </c>
      <c r="I437">
        <v>9120</v>
      </c>
      <c r="J437">
        <v>25.35</v>
      </c>
      <c r="K437" t="s">
        <v>541</v>
      </c>
      <c r="L437" t="s">
        <v>27</v>
      </c>
      <c r="M437" t="s">
        <v>28</v>
      </c>
      <c r="N437" t="s">
        <v>45</v>
      </c>
    </row>
    <row r="438" spans="1:14" x14ac:dyDescent="0.3">
      <c r="A438" t="s">
        <v>40</v>
      </c>
      <c r="B438" t="s">
        <v>41</v>
      </c>
      <c r="C438" t="s">
        <v>804</v>
      </c>
      <c r="D438" t="s">
        <v>47</v>
      </c>
      <c r="E438" s="1">
        <v>46181</v>
      </c>
      <c r="F438" s="2">
        <v>0.39583333333333331</v>
      </c>
      <c r="G438">
        <v>0</v>
      </c>
      <c r="H438">
        <v>63</v>
      </c>
      <c r="I438">
        <v>7560</v>
      </c>
      <c r="J438">
        <v>37.11</v>
      </c>
      <c r="K438" t="s">
        <v>805</v>
      </c>
      <c r="L438" t="s">
        <v>44</v>
      </c>
      <c r="M438" t="s">
        <v>28</v>
      </c>
      <c r="N438" t="s">
        <v>45</v>
      </c>
    </row>
    <row r="439" spans="1:14" x14ac:dyDescent="0.3">
      <c r="A439" t="s">
        <v>30</v>
      </c>
      <c r="B439" t="s">
        <v>31</v>
      </c>
      <c r="C439" t="s">
        <v>806</v>
      </c>
      <c r="D439" t="s">
        <v>25</v>
      </c>
      <c r="E439" s="1">
        <v>46194</v>
      </c>
      <c r="F439" s="2">
        <v>0.625</v>
      </c>
      <c r="G439">
        <v>0</v>
      </c>
      <c r="H439">
        <v>19</v>
      </c>
      <c r="I439">
        <v>1900</v>
      </c>
      <c r="J439">
        <v>27.43</v>
      </c>
      <c r="K439" t="s">
        <v>807</v>
      </c>
      <c r="L439" t="s">
        <v>44</v>
      </c>
      <c r="M439" t="s">
        <v>20</v>
      </c>
      <c r="N439" t="s">
        <v>45</v>
      </c>
    </row>
    <row r="440" spans="1:14" x14ac:dyDescent="0.3">
      <c r="A440" t="s">
        <v>14</v>
      </c>
      <c r="B440" t="s">
        <v>15</v>
      </c>
      <c r="C440" t="s">
        <v>808</v>
      </c>
      <c r="D440" t="s">
        <v>47</v>
      </c>
      <c r="E440" s="1">
        <v>46188</v>
      </c>
      <c r="F440" s="2">
        <v>0.51041666666666663</v>
      </c>
      <c r="G440">
        <v>0</v>
      </c>
      <c r="H440">
        <v>51</v>
      </c>
      <c r="I440">
        <v>4080</v>
      </c>
      <c r="J440">
        <v>17.52</v>
      </c>
      <c r="K440" t="s">
        <v>124</v>
      </c>
      <c r="L440" t="s">
        <v>37</v>
      </c>
      <c r="M440" t="s">
        <v>28</v>
      </c>
      <c r="N440" t="s">
        <v>45</v>
      </c>
    </row>
    <row r="441" spans="1:14" x14ac:dyDescent="0.3">
      <c r="A441" t="s">
        <v>71</v>
      </c>
      <c r="B441" t="s">
        <v>72</v>
      </c>
      <c r="C441" t="s">
        <v>809</v>
      </c>
      <c r="D441" t="s">
        <v>25</v>
      </c>
      <c r="E441" s="1">
        <v>46174</v>
      </c>
      <c r="F441" s="2">
        <v>0.25</v>
      </c>
      <c r="G441">
        <v>0</v>
      </c>
      <c r="H441">
        <v>73</v>
      </c>
      <c r="I441">
        <v>8760</v>
      </c>
      <c r="J441">
        <v>38.619999999999997</v>
      </c>
      <c r="K441" t="s">
        <v>810</v>
      </c>
      <c r="L441" t="s">
        <v>19</v>
      </c>
      <c r="M441" t="s">
        <v>28</v>
      </c>
      <c r="N441" t="s">
        <v>29</v>
      </c>
    </row>
    <row r="442" spans="1:14" x14ac:dyDescent="0.3">
      <c r="A442" t="s">
        <v>71</v>
      </c>
      <c r="B442" t="s">
        <v>72</v>
      </c>
      <c r="C442" t="s">
        <v>390</v>
      </c>
      <c r="D442" t="s">
        <v>33</v>
      </c>
      <c r="E442" s="1">
        <v>46176</v>
      </c>
      <c r="F442" s="2">
        <v>0.32291666666666669</v>
      </c>
      <c r="G442">
        <v>50</v>
      </c>
      <c r="H442">
        <v>30</v>
      </c>
      <c r="I442">
        <v>3600</v>
      </c>
      <c r="J442">
        <v>23.93</v>
      </c>
      <c r="K442" t="s">
        <v>433</v>
      </c>
      <c r="L442" t="s">
        <v>44</v>
      </c>
      <c r="M442" t="s">
        <v>28</v>
      </c>
      <c r="N442" t="s">
        <v>21</v>
      </c>
    </row>
    <row r="443" spans="1:14" x14ac:dyDescent="0.3">
      <c r="A443" t="s">
        <v>22</v>
      </c>
      <c r="B443" t="s">
        <v>23</v>
      </c>
      <c r="C443" t="s">
        <v>811</v>
      </c>
      <c r="D443" t="s">
        <v>17</v>
      </c>
      <c r="E443" s="1">
        <v>46199</v>
      </c>
      <c r="F443" s="2">
        <v>0.66666666666666663</v>
      </c>
      <c r="G443">
        <v>43</v>
      </c>
      <c r="H443">
        <v>75</v>
      </c>
      <c r="I443">
        <v>7500</v>
      </c>
      <c r="J443">
        <v>28.27</v>
      </c>
      <c r="K443" t="s">
        <v>696</v>
      </c>
      <c r="L443" t="s">
        <v>19</v>
      </c>
      <c r="M443" t="s">
        <v>28</v>
      </c>
      <c r="N443" t="s">
        <v>21</v>
      </c>
    </row>
    <row r="444" spans="1:14" x14ac:dyDescent="0.3">
      <c r="A444" t="s">
        <v>30</v>
      </c>
      <c r="B444" t="s">
        <v>31</v>
      </c>
      <c r="C444" t="s">
        <v>812</v>
      </c>
      <c r="D444" t="s">
        <v>17</v>
      </c>
      <c r="E444" s="1">
        <v>46181</v>
      </c>
      <c r="F444" s="2">
        <v>0.51041666666666663</v>
      </c>
      <c r="G444">
        <v>0</v>
      </c>
      <c r="H444">
        <v>50</v>
      </c>
      <c r="I444">
        <v>6000</v>
      </c>
      <c r="J444">
        <v>35.72</v>
      </c>
      <c r="K444" t="s">
        <v>399</v>
      </c>
      <c r="L444" t="s">
        <v>37</v>
      </c>
      <c r="M444" t="s">
        <v>28</v>
      </c>
      <c r="N444" t="s">
        <v>45</v>
      </c>
    </row>
    <row r="445" spans="1:14" x14ac:dyDescent="0.3">
      <c r="A445" t="s">
        <v>30</v>
      </c>
      <c r="B445" t="s">
        <v>31</v>
      </c>
      <c r="C445" t="s">
        <v>813</v>
      </c>
      <c r="D445" t="s">
        <v>33</v>
      </c>
      <c r="E445" s="1">
        <v>46177</v>
      </c>
      <c r="F445" s="2">
        <v>0.91666666666666663</v>
      </c>
      <c r="G445">
        <v>0</v>
      </c>
      <c r="H445">
        <v>33</v>
      </c>
      <c r="I445">
        <v>3300</v>
      </c>
      <c r="J445">
        <v>25.31</v>
      </c>
      <c r="K445" t="s">
        <v>694</v>
      </c>
      <c r="L445" t="s">
        <v>19</v>
      </c>
      <c r="M445" t="s">
        <v>28</v>
      </c>
      <c r="N445" t="s">
        <v>29</v>
      </c>
    </row>
    <row r="446" spans="1:14" x14ac:dyDescent="0.3">
      <c r="A446" t="s">
        <v>22</v>
      </c>
      <c r="B446" t="s">
        <v>23</v>
      </c>
      <c r="C446" t="s">
        <v>814</v>
      </c>
      <c r="D446" t="s">
        <v>17</v>
      </c>
      <c r="E446" s="1">
        <v>46189</v>
      </c>
      <c r="F446" s="2">
        <v>0.30208333333333331</v>
      </c>
      <c r="G446">
        <v>0</v>
      </c>
      <c r="H446">
        <v>44</v>
      </c>
      <c r="I446">
        <v>3520</v>
      </c>
      <c r="J446">
        <v>17.170000000000002</v>
      </c>
      <c r="K446" t="s">
        <v>815</v>
      </c>
      <c r="L446" t="s">
        <v>37</v>
      </c>
      <c r="M446" t="s">
        <v>28</v>
      </c>
      <c r="N446" t="s">
        <v>45</v>
      </c>
    </row>
    <row r="447" spans="1:14" x14ac:dyDescent="0.3">
      <c r="A447" t="s">
        <v>14</v>
      </c>
      <c r="B447" t="s">
        <v>15</v>
      </c>
      <c r="C447" t="s">
        <v>816</v>
      </c>
      <c r="D447" t="s">
        <v>17</v>
      </c>
      <c r="E447" s="1">
        <v>46203</v>
      </c>
      <c r="F447" s="2">
        <v>0.80208333333333337</v>
      </c>
      <c r="G447">
        <v>0</v>
      </c>
      <c r="H447">
        <v>65</v>
      </c>
      <c r="I447">
        <v>5200</v>
      </c>
      <c r="J447">
        <v>26.53</v>
      </c>
      <c r="K447" t="s">
        <v>817</v>
      </c>
      <c r="L447" t="s">
        <v>27</v>
      </c>
      <c r="M447" t="s">
        <v>28</v>
      </c>
      <c r="N447" t="s">
        <v>29</v>
      </c>
    </row>
    <row r="448" spans="1:14" x14ac:dyDescent="0.3">
      <c r="A448" t="s">
        <v>30</v>
      </c>
      <c r="B448" t="s">
        <v>31</v>
      </c>
      <c r="C448" t="s">
        <v>818</v>
      </c>
      <c r="D448" t="s">
        <v>25</v>
      </c>
      <c r="E448" s="1">
        <v>46196</v>
      </c>
      <c r="F448" s="2">
        <v>0.29166666666666669</v>
      </c>
      <c r="G448">
        <v>0</v>
      </c>
      <c r="H448">
        <v>39</v>
      </c>
      <c r="I448">
        <v>4680</v>
      </c>
      <c r="J448">
        <v>31.34</v>
      </c>
      <c r="K448" t="s">
        <v>128</v>
      </c>
      <c r="L448" t="s">
        <v>19</v>
      </c>
      <c r="M448" t="s">
        <v>28</v>
      </c>
      <c r="N448" t="s">
        <v>45</v>
      </c>
    </row>
    <row r="449" spans="1:14" x14ac:dyDescent="0.3">
      <c r="A449" t="s">
        <v>71</v>
      </c>
      <c r="B449" t="s">
        <v>72</v>
      </c>
      <c r="C449" t="s">
        <v>819</v>
      </c>
      <c r="D449" t="s">
        <v>33</v>
      </c>
      <c r="E449" s="1">
        <v>46183</v>
      </c>
      <c r="F449" s="2">
        <v>0.625</v>
      </c>
      <c r="G449">
        <v>61</v>
      </c>
      <c r="H449">
        <v>66</v>
      </c>
      <c r="I449">
        <v>7920</v>
      </c>
      <c r="J449">
        <v>34.43</v>
      </c>
      <c r="K449" t="s">
        <v>820</v>
      </c>
      <c r="L449" t="s">
        <v>19</v>
      </c>
      <c r="M449" t="s">
        <v>28</v>
      </c>
      <c r="N449" t="s">
        <v>21</v>
      </c>
    </row>
    <row r="450" spans="1:14" x14ac:dyDescent="0.3">
      <c r="A450" t="s">
        <v>71</v>
      </c>
      <c r="B450" t="s">
        <v>72</v>
      </c>
      <c r="C450" t="s">
        <v>821</v>
      </c>
      <c r="D450" t="s">
        <v>47</v>
      </c>
      <c r="E450" s="1">
        <v>46185</v>
      </c>
      <c r="F450" s="2">
        <v>0.42708333333333331</v>
      </c>
      <c r="G450">
        <v>58</v>
      </c>
      <c r="H450">
        <v>56</v>
      </c>
      <c r="I450">
        <v>6720</v>
      </c>
      <c r="J450">
        <v>35.31</v>
      </c>
      <c r="K450" t="s">
        <v>651</v>
      </c>
      <c r="L450" t="s">
        <v>27</v>
      </c>
      <c r="M450" t="s">
        <v>28</v>
      </c>
      <c r="N450" t="s">
        <v>21</v>
      </c>
    </row>
    <row r="451" spans="1:14" x14ac:dyDescent="0.3">
      <c r="A451" t="s">
        <v>40</v>
      </c>
      <c r="B451" t="s">
        <v>41</v>
      </c>
      <c r="C451" t="s">
        <v>822</v>
      </c>
      <c r="D451" t="s">
        <v>25</v>
      </c>
      <c r="E451" s="1">
        <v>46187</v>
      </c>
      <c r="F451" s="2">
        <v>0.875</v>
      </c>
      <c r="G451">
        <v>0</v>
      </c>
      <c r="H451">
        <v>44</v>
      </c>
      <c r="I451">
        <v>4400</v>
      </c>
      <c r="J451">
        <v>34.15</v>
      </c>
      <c r="K451" t="s">
        <v>134</v>
      </c>
      <c r="L451" t="s">
        <v>19</v>
      </c>
      <c r="M451" t="s">
        <v>20</v>
      </c>
      <c r="N451" t="s">
        <v>29</v>
      </c>
    </row>
    <row r="452" spans="1:14" x14ac:dyDescent="0.3">
      <c r="A452" t="s">
        <v>30</v>
      </c>
      <c r="B452" t="s">
        <v>31</v>
      </c>
      <c r="C452" t="s">
        <v>823</v>
      </c>
      <c r="D452" t="s">
        <v>33</v>
      </c>
      <c r="E452" s="1">
        <v>46187</v>
      </c>
      <c r="F452" s="2">
        <v>0.30208333333333331</v>
      </c>
      <c r="G452">
        <v>0</v>
      </c>
      <c r="H452">
        <v>28</v>
      </c>
      <c r="I452">
        <v>3360</v>
      </c>
      <c r="J452">
        <v>21.37</v>
      </c>
      <c r="K452" t="s">
        <v>824</v>
      </c>
      <c r="L452" t="s">
        <v>27</v>
      </c>
      <c r="M452" t="s">
        <v>20</v>
      </c>
      <c r="N452" t="s">
        <v>45</v>
      </c>
    </row>
    <row r="453" spans="1:14" x14ac:dyDescent="0.3">
      <c r="A453" t="s">
        <v>14</v>
      </c>
      <c r="B453" t="s">
        <v>15</v>
      </c>
      <c r="C453" t="s">
        <v>825</v>
      </c>
      <c r="D453" t="s">
        <v>25</v>
      </c>
      <c r="E453" s="1">
        <v>46175</v>
      </c>
      <c r="F453" s="2">
        <v>0.32291666666666669</v>
      </c>
      <c r="G453">
        <v>43</v>
      </c>
      <c r="H453">
        <v>17</v>
      </c>
      <c r="I453">
        <v>2040</v>
      </c>
      <c r="J453">
        <v>27.84</v>
      </c>
      <c r="K453" t="s">
        <v>826</v>
      </c>
      <c r="L453" t="s">
        <v>44</v>
      </c>
      <c r="M453" t="s">
        <v>28</v>
      </c>
      <c r="N453" t="s">
        <v>21</v>
      </c>
    </row>
    <row r="454" spans="1:14" x14ac:dyDescent="0.3">
      <c r="A454" t="s">
        <v>22</v>
      </c>
      <c r="B454" t="s">
        <v>23</v>
      </c>
      <c r="C454" t="s">
        <v>827</v>
      </c>
      <c r="D454" t="s">
        <v>47</v>
      </c>
      <c r="E454" s="1">
        <v>46196</v>
      </c>
      <c r="F454" s="2">
        <v>0.89583333333333337</v>
      </c>
      <c r="G454">
        <v>0</v>
      </c>
      <c r="H454">
        <v>35</v>
      </c>
      <c r="I454">
        <v>2800</v>
      </c>
      <c r="J454">
        <v>37.65</v>
      </c>
      <c r="K454" t="s">
        <v>269</v>
      </c>
      <c r="L454" t="s">
        <v>37</v>
      </c>
      <c r="M454" t="s">
        <v>28</v>
      </c>
      <c r="N454" t="s">
        <v>29</v>
      </c>
    </row>
    <row r="455" spans="1:14" x14ac:dyDescent="0.3">
      <c r="A455" t="s">
        <v>22</v>
      </c>
      <c r="B455" t="s">
        <v>23</v>
      </c>
      <c r="C455" t="s">
        <v>828</v>
      </c>
      <c r="D455" t="s">
        <v>47</v>
      </c>
      <c r="E455" s="1">
        <v>46178</v>
      </c>
      <c r="F455" s="2">
        <v>0.51041666666666663</v>
      </c>
      <c r="G455">
        <v>53</v>
      </c>
      <c r="H455">
        <v>80</v>
      </c>
      <c r="I455">
        <v>9600</v>
      </c>
      <c r="J455">
        <v>18.489999999999998</v>
      </c>
      <c r="K455" t="s">
        <v>603</v>
      </c>
      <c r="L455" t="s">
        <v>27</v>
      </c>
      <c r="M455" t="s">
        <v>28</v>
      </c>
      <c r="N455" t="s">
        <v>21</v>
      </c>
    </row>
    <row r="456" spans="1:14" x14ac:dyDescent="0.3">
      <c r="A456" t="s">
        <v>14</v>
      </c>
      <c r="B456" t="s">
        <v>15</v>
      </c>
      <c r="C456" t="s">
        <v>829</v>
      </c>
      <c r="D456" t="s">
        <v>33</v>
      </c>
      <c r="E456" s="1">
        <v>46178</v>
      </c>
      <c r="F456" s="2">
        <v>0.73958333333333337</v>
      </c>
      <c r="G456">
        <v>0</v>
      </c>
      <c r="H456">
        <v>39</v>
      </c>
      <c r="I456">
        <v>3120</v>
      </c>
      <c r="J456">
        <v>23.7</v>
      </c>
      <c r="K456" t="s">
        <v>830</v>
      </c>
      <c r="L456" t="s">
        <v>19</v>
      </c>
      <c r="M456" t="s">
        <v>28</v>
      </c>
      <c r="N456" t="s">
        <v>45</v>
      </c>
    </row>
    <row r="457" spans="1:14" x14ac:dyDescent="0.3">
      <c r="A457" t="s">
        <v>40</v>
      </c>
      <c r="B457" t="s">
        <v>41</v>
      </c>
      <c r="C457" t="s">
        <v>148</v>
      </c>
      <c r="D457" t="s">
        <v>47</v>
      </c>
      <c r="E457" s="1">
        <v>46179</v>
      </c>
      <c r="F457" s="2">
        <v>0.86458333333333337</v>
      </c>
      <c r="G457">
        <v>0</v>
      </c>
      <c r="H457">
        <v>16</v>
      </c>
      <c r="I457">
        <v>1920</v>
      </c>
      <c r="J457">
        <v>23.65</v>
      </c>
      <c r="K457" t="s">
        <v>831</v>
      </c>
      <c r="L457" t="s">
        <v>27</v>
      </c>
      <c r="M457" t="s">
        <v>20</v>
      </c>
      <c r="N457" t="s">
        <v>29</v>
      </c>
    </row>
    <row r="458" spans="1:14" x14ac:dyDescent="0.3">
      <c r="A458" t="s">
        <v>22</v>
      </c>
      <c r="B458" t="s">
        <v>23</v>
      </c>
      <c r="C458" t="s">
        <v>832</v>
      </c>
      <c r="D458" t="s">
        <v>25</v>
      </c>
      <c r="E458" s="1">
        <v>46186</v>
      </c>
      <c r="F458" s="2">
        <v>0.48958333333333331</v>
      </c>
      <c r="G458">
        <v>0</v>
      </c>
      <c r="H458">
        <v>76</v>
      </c>
      <c r="I458">
        <v>6080</v>
      </c>
      <c r="J458">
        <v>28.24</v>
      </c>
      <c r="K458" t="s">
        <v>833</v>
      </c>
      <c r="L458" t="s">
        <v>19</v>
      </c>
      <c r="M458" t="s">
        <v>20</v>
      </c>
      <c r="N458" t="s">
        <v>45</v>
      </c>
    </row>
    <row r="459" spans="1:14" x14ac:dyDescent="0.3">
      <c r="A459" t="s">
        <v>30</v>
      </c>
      <c r="B459" t="s">
        <v>31</v>
      </c>
      <c r="C459" t="s">
        <v>834</v>
      </c>
      <c r="D459" t="s">
        <v>47</v>
      </c>
      <c r="E459" s="1">
        <v>46182</v>
      </c>
      <c r="F459" s="2">
        <v>0.64583333333333337</v>
      </c>
      <c r="G459">
        <v>27</v>
      </c>
      <c r="H459">
        <v>74</v>
      </c>
      <c r="I459">
        <v>8880</v>
      </c>
      <c r="J459">
        <v>44.42</v>
      </c>
      <c r="K459" t="s">
        <v>835</v>
      </c>
      <c r="L459" t="s">
        <v>44</v>
      </c>
      <c r="M459" t="s">
        <v>28</v>
      </c>
      <c r="N459" t="s">
        <v>21</v>
      </c>
    </row>
    <row r="460" spans="1:14" x14ac:dyDescent="0.3">
      <c r="A460" t="s">
        <v>40</v>
      </c>
      <c r="B460" t="s">
        <v>41</v>
      </c>
      <c r="C460" t="s">
        <v>836</v>
      </c>
      <c r="D460" t="s">
        <v>25</v>
      </c>
      <c r="E460" s="1">
        <v>46203</v>
      </c>
      <c r="F460" s="2">
        <v>0.94791666666666663</v>
      </c>
      <c r="G460">
        <v>0</v>
      </c>
      <c r="H460">
        <v>45</v>
      </c>
      <c r="I460">
        <v>3600</v>
      </c>
      <c r="J460">
        <v>17.489999999999998</v>
      </c>
      <c r="K460" t="s">
        <v>837</v>
      </c>
      <c r="L460" t="s">
        <v>27</v>
      </c>
      <c r="M460" t="s">
        <v>28</v>
      </c>
      <c r="N460" t="s">
        <v>29</v>
      </c>
    </row>
    <row r="461" spans="1:14" x14ac:dyDescent="0.3">
      <c r="A461" t="s">
        <v>30</v>
      </c>
      <c r="B461" t="s">
        <v>31</v>
      </c>
      <c r="C461" t="s">
        <v>838</v>
      </c>
      <c r="D461" t="s">
        <v>25</v>
      </c>
      <c r="E461" s="1">
        <v>46195</v>
      </c>
      <c r="F461" s="2">
        <v>0.5</v>
      </c>
      <c r="G461">
        <v>16</v>
      </c>
      <c r="H461">
        <v>34</v>
      </c>
      <c r="I461">
        <v>3400</v>
      </c>
      <c r="J461">
        <v>30.8</v>
      </c>
      <c r="K461" t="s">
        <v>839</v>
      </c>
      <c r="L461" t="s">
        <v>44</v>
      </c>
      <c r="M461" t="s">
        <v>28</v>
      </c>
      <c r="N461" t="s">
        <v>21</v>
      </c>
    </row>
    <row r="462" spans="1:14" x14ac:dyDescent="0.3">
      <c r="A462" t="s">
        <v>71</v>
      </c>
      <c r="B462" t="s">
        <v>72</v>
      </c>
      <c r="C462" t="s">
        <v>840</v>
      </c>
      <c r="D462" t="s">
        <v>47</v>
      </c>
      <c r="E462" s="1">
        <v>46201</v>
      </c>
      <c r="F462" s="2">
        <v>0.38541666666666669</v>
      </c>
      <c r="G462">
        <v>0</v>
      </c>
      <c r="H462">
        <v>46</v>
      </c>
      <c r="I462">
        <v>3680</v>
      </c>
      <c r="J462">
        <v>20.79</v>
      </c>
      <c r="K462" t="s">
        <v>789</v>
      </c>
      <c r="L462" t="s">
        <v>37</v>
      </c>
      <c r="M462" t="s">
        <v>20</v>
      </c>
      <c r="N462" t="s">
        <v>29</v>
      </c>
    </row>
    <row r="463" spans="1:14" x14ac:dyDescent="0.3">
      <c r="A463" t="s">
        <v>40</v>
      </c>
      <c r="B463" t="s">
        <v>41</v>
      </c>
      <c r="C463" t="s">
        <v>841</v>
      </c>
      <c r="D463" t="s">
        <v>33</v>
      </c>
      <c r="E463" s="1">
        <v>46202</v>
      </c>
      <c r="F463" s="2">
        <v>0.86458333333333337</v>
      </c>
      <c r="G463">
        <v>64</v>
      </c>
      <c r="H463">
        <v>10</v>
      </c>
      <c r="I463">
        <v>800</v>
      </c>
      <c r="J463">
        <v>44.13</v>
      </c>
      <c r="K463" t="s">
        <v>842</v>
      </c>
      <c r="L463" t="s">
        <v>19</v>
      </c>
      <c r="M463" t="s">
        <v>28</v>
      </c>
      <c r="N463" t="s">
        <v>21</v>
      </c>
    </row>
    <row r="464" spans="1:14" x14ac:dyDescent="0.3">
      <c r="A464" t="s">
        <v>22</v>
      </c>
      <c r="B464" t="s">
        <v>23</v>
      </c>
      <c r="C464" t="s">
        <v>843</v>
      </c>
      <c r="D464" t="s">
        <v>17</v>
      </c>
      <c r="E464" s="1">
        <v>46188</v>
      </c>
      <c r="F464" s="2">
        <v>0.54166666666666663</v>
      </c>
      <c r="G464">
        <v>0</v>
      </c>
      <c r="H464">
        <v>24</v>
      </c>
      <c r="I464">
        <v>1920</v>
      </c>
      <c r="J464">
        <v>18.84</v>
      </c>
      <c r="K464" t="s">
        <v>635</v>
      </c>
      <c r="L464" t="s">
        <v>19</v>
      </c>
      <c r="M464" t="s">
        <v>28</v>
      </c>
      <c r="N464" t="s">
        <v>45</v>
      </c>
    </row>
    <row r="465" spans="1:14" x14ac:dyDescent="0.3">
      <c r="A465" t="s">
        <v>40</v>
      </c>
      <c r="B465" t="s">
        <v>41</v>
      </c>
      <c r="C465" t="s">
        <v>844</v>
      </c>
      <c r="D465" t="s">
        <v>47</v>
      </c>
      <c r="E465" s="1">
        <v>46187</v>
      </c>
      <c r="F465" s="2">
        <v>0.84375</v>
      </c>
      <c r="G465">
        <v>34</v>
      </c>
      <c r="H465">
        <v>46</v>
      </c>
      <c r="I465">
        <v>5520</v>
      </c>
      <c r="J465">
        <v>27.41</v>
      </c>
      <c r="K465" t="s">
        <v>845</v>
      </c>
      <c r="L465" t="s">
        <v>44</v>
      </c>
      <c r="M465" t="s">
        <v>20</v>
      </c>
      <c r="N465" t="s">
        <v>21</v>
      </c>
    </row>
    <row r="466" spans="1:14" x14ac:dyDescent="0.3">
      <c r="A466" t="s">
        <v>40</v>
      </c>
      <c r="B466" t="s">
        <v>41</v>
      </c>
      <c r="C466" t="s">
        <v>846</v>
      </c>
      <c r="D466" t="s">
        <v>25</v>
      </c>
      <c r="E466" s="1">
        <v>46197</v>
      </c>
      <c r="F466" s="2">
        <v>0.8125</v>
      </c>
      <c r="G466">
        <v>47</v>
      </c>
      <c r="H466">
        <v>22</v>
      </c>
      <c r="I466">
        <v>2640</v>
      </c>
      <c r="J466">
        <v>37.270000000000003</v>
      </c>
      <c r="K466" t="s">
        <v>643</v>
      </c>
      <c r="L466" t="s">
        <v>37</v>
      </c>
      <c r="M466" t="s">
        <v>28</v>
      </c>
      <c r="N466" t="s">
        <v>21</v>
      </c>
    </row>
    <row r="467" spans="1:14" x14ac:dyDescent="0.3">
      <c r="A467" t="s">
        <v>40</v>
      </c>
      <c r="B467" t="s">
        <v>41</v>
      </c>
      <c r="C467" t="s">
        <v>847</v>
      </c>
      <c r="D467" t="s">
        <v>25</v>
      </c>
      <c r="E467" s="1">
        <v>46180</v>
      </c>
      <c r="F467" s="2">
        <v>0.61458333333333337</v>
      </c>
      <c r="G467">
        <v>23</v>
      </c>
      <c r="H467">
        <v>17</v>
      </c>
      <c r="I467">
        <v>2040</v>
      </c>
      <c r="J467">
        <v>36.28</v>
      </c>
      <c r="K467" t="s">
        <v>84</v>
      </c>
      <c r="L467" t="s">
        <v>27</v>
      </c>
      <c r="M467" t="s">
        <v>20</v>
      </c>
      <c r="N467" t="s">
        <v>21</v>
      </c>
    </row>
    <row r="468" spans="1:14" x14ac:dyDescent="0.3">
      <c r="A468" t="s">
        <v>40</v>
      </c>
      <c r="B468" t="s">
        <v>41</v>
      </c>
      <c r="C468" t="s">
        <v>848</v>
      </c>
      <c r="D468" t="s">
        <v>47</v>
      </c>
      <c r="E468" s="1">
        <v>46198</v>
      </c>
      <c r="F468" s="2">
        <v>0.9375</v>
      </c>
      <c r="G468">
        <v>0</v>
      </c>
      <c r="H468">
        <v>14</v>
      </c>
      <c r="I468">
        <v>1400</v>
      </c>
      <c r="J468">
        <v>27.97</v>
      </c>
      <c r="K468" t="s">
        <v>639</v>
      </c>
      <c r="L468" t="s">
        <v>27</v>
      </c>
      <c r="M468" t="s">
        <v>28</v>
      </c>
      <c r="N468" t="s">
        <v>29</v>
      </c>
    </row>
    <row r="469" spans="1:14" x14ac:dyDescent="0.3">
      <c r="A469" t="s">
        <v>30</v>
      </c>
      <c r="B469" t="s">
        <v>31</v>
      </c>
      <c r="C469" t="s">
        <v>849</v>
      </c>
      <c r="D469" t="s">
        <v>33</v>
      </c>
      <c r="E469" s="1">
        <v>46193</v>
      </c>
      <c r="F469" s="2">
        <v>0.29166666666666669</v>
      </c>
      <c r="G469">
        <v>0</v>
      </c>
      <c r="H469">
        <v>69</v>
      </c>
      <c r="I469">
        <v>6900</v>
      </c>
      <c r="J469">
        <v>25.72</v>
      </c>
      <c r="K469" t="s">
        <v>720</v>
      </c>
      <c r="L469" t="s">
        <v>19</v>
      </c>
      <c r="M469" t="s">
        <v>20</v>
      </c>
      <c r="N469" t="s">
        <v>29</v>
      </c>
    </row>
    <row r="470" spans="1:14" x14ac:dyDescent="0.3">
      <c r="A470" t="s">
        <v>71</v>
      </c>
      <c r="B470" t="s">
        <v>72</v>
      </c>
      <c r="C470" t="s">
        <v>850</v>
      </c>
      <c r="D470" t="s">
        <v>33</v>
      </c>
      <c r="E470" s="1">
        <v>46175</v>
      </c>
      <c r="F470" s="2">
        <v>0.36458333333333331</v>
      </c>
      <c r="G470">
        <v>0</v>
      </c>
      <c r="H470">
        <v>82</v>
      </c>
      <c r="I470">
        <v>6560</v>
      </c>
      <c r="J470">
        <v>27.23</v>
      </c>
      <c r="K470" t="s">
        <v>851</v>
      </c>
      <c r="L470" t="s">
        <v>44</v>
      </c>
      <c r="M470" t="s">
        <v>28</v>
      </c>
      <c r="N470" t="s">
        <v>29</v>
      </c>
    </row>
    <row r="471" spans="1:14" x14ac:dyDescent="0.3">
      <c r="A471" t="s">
        <v>14</v>
      </c>
      <c r="B471" t="s">
        <v>15</v>
      </c>
      <c r="C471" t="s">
        <v>852</v>
      </c>
      <c r="D471" t="s">
        <v>25</v>
      </c>
      <c r="E471" s="1">
        <v>46180</v>
      </c>
      <c r="F471" s="2">
        <v>0.70833333333333337</v>
      </c>
      <c r="G471">
        <v>11</v>
      </c>
      <c r="H471">
        <v>10</v>
      </c>
      <c r="I471">
        <v>1000</v>
      </c>
      <c r="J471">
        <v>23.3</v>
      </c>
      <c r="K471" t="s">
        <v>599</v>
      </c>
      <c r="L471" t="s">
        <v>44</v>
      </c>
      <c r="M471" t="s">
        <v>20</v>
      </c>
      <c r="N471" t="s">
        <v>21</v>
      </c>
    </row>
    <row r="472" spans="1:14" x14ac:dyDescent="0.3">
      <c r="A472" t="s">
        <v>40</v>
      </c>
      <c r="B472" t="s">
        <v>41</v>
      </c>
      <c r="C472" t="s">
        <v>853</v>
      </c>
      <c r="D472" t="s">
        <v>25</v>
      </c>
      <c r="E472" s="1">
        <v>46179</v>
      </c>
      <c r="F472" s="2">
        <v>0.65625</v>
      </c>
      <c r="G472">
        <v>0</v>
      </c>
      <c r="H472">
        <v>45</v>
      </c>
      <c r="I472">
        <v>3600</v>
      </c>
      <c r="J472">
        <v>21.56</v>
      </c>
      <c r="K472" t="s">
        <v>409</v>
      </c>
      <c r="L472" t="s">
        <v>27</v>
      </c>
      <c r="M472" t="s">
        <v>20</v>
      </c>
      <c r="N472" t="s">
        <v>29</v>
      </c>
    </row>
    <row r="473" spans="1:14" x14ac:dyDescent="0.3">
      <c r="A473" t="s">
        <v>22</v>
      </c>
      <c r="B473" t="s">
        <v>23</v>
      </c>
      <c r="C473" t="s">
        <v>854</v>
      </c>
      <c r="D473" t="s">
        <v>33</v>
      </c>
      <c r="E473" s="1">
        <v>46190</v>
      </c>
      <c r="F473" s="2">
        <v>0.34375</v>
      </c>
      <c r="G473">
        <v>46</v>
      </c>
      <c r="H473">
        <v>44</v>
      </c>
      <c r="I473">
        <v>3520</v>
      </c>
      <c r="J473">
        <v>29.75</v>
      </c>
      <c r="K473" t="s">
        <v>507</v>
      </c>
      <c r="L473" t="s">
        <v>37</v>
      </c>
      <c r="M473" t="s">
        <v>28</v>
      </c>
      <c r="N473" t="s">
        <v>21</v>
      </c>
    </row>
    <row r="474" spans="1:14" x14ac:dyDescent="0.3">
      <c r="A474" t="s">
        <v>40</v>
      </c>
      <c r="B474" t="s">
        <v>41</v>
      </c>
      <c r="C474" t="s">
        <v>855</v>
      </c>
      <c r="D474" t="s">
        <v>17</v>
      </c>
      <c r="E474" s="1">
        <v>46200</v>
      </c>
      <c r="F474" s="2">
        <v>0.53125</v>
      </c>
      <c r="G474">
        <v>23</v>
      </c>
      <c r="H474">
        <v>75</v>
      </c>
      <c r="I474">
        <v>6000</v>
      </c>
      <c r="J474">
        <v>23.42</v>
      </c>
      <c r="K474" t="s">
        <v>856</v>
      </c>
      <c r="L474" t="s">
        <v>37</v>
      </c>
      <c r="M474" t="s">
        <v>20</v>
      </c>
      <c r="N474" t="s">
        <v>21</v>
      </c>
    </row>
    <row r="475" spans="1:14" x14ac:dyDescent="0.3">
      <c r="A475" t="s">
        <v>22</v>
      </c>
      <c r="B475" t="s">
        <v>23</v>
      </c>
      <c r="C475" t="s">
        <v>857</v>
      </c>
      <c r="D475" t="s">
        <v>47</v>
      </c>
      <c r="E475" s="1">
        <v>46198</v>
      </c>
      <c r="F475" s="2">
        <v>0.6875</v>
      </c>
      <c r="G475">
        <v>0</v>
      </c>
      <c r="H475">
        <v>72</v>
      </c>
      <c r="I475">
        <v>7200</v>
      </c>
      <c r="J475">
        <v>23.98</v>
      </c>
      <c r="K475" t="s">
        <v>858</v>
      </c>
      <c r="L475" t="s">
        <v>27</v>
      </c>
      <c r="M475" t="s">
        <v>28</v>
      </c>
      <c r="N475" t="s">
        <v>45</v>
      </c>
    </row>
    <row r="476" spans="1:14" x14ac:dyDescent="0.3">
      <c r="A476" t="s">
        <v>30</v>
      </c>
      <c r="B476" t="s">
        <v>31</v>
      </c>
      <c r="C476" t="s">
        <v>859</v>
      </c>
      <c r="D476" t="s">
        <v>25</v>
      </c>
      <c r="E476" s="1">
        <v>46198</v>
      </c>
      <c r="F476" s="2">
        <v>0.4375</v>
      </c>
      <c r="G476">
        <v>39</v>
      </c>
      <c r="H476">
        <v>32</v>
      </c>
      <c r="I476">
        <v>3840</v>
      </c>
      <c r="J476">
        <v>34.869999999999997</v>
      </c>
      <c r="K476" t="s">
        <v>114</v>
      </c>
      <c r="L476" t="s">
        <v>27</v>
      </c>
      <c r="M476" t="s">
        <v>28</v>
      </c>
      <c r="N476" t="s">
        <v>21</v>
      </c>
    </row>
    <row r="477" spans="1:14" x14ac:dyDescent="0.3">
      <c r="A477" t="s">
        <v>22</v>
      </c>
      <c r="B477" t="s">
        <v>23</v>
      </c>
      <c r="C477" t="s">
        <v>860</v>
      </c>
      <c r="D477" t="s">
        <v>25</v>
      </c>
      <c r="E477" s="1">
        <v>46201</v>
      </c>
      <c r="F477" s="2">
        <v>0.69791666666666663</v>
      </c>
      <c r="G477">
        <v>38</v>
      </c>
      <c r="H477">
        <v>18</v>
      </c>
      <c r="I477">
        <v>1800</v>
      </c>
      <c r="J477">
        <v>44.07</v>
      </c>
      <c r="K477" t="s">
        <v>271</v>
      </c>
      <c r="L477" t="s">
        <v>44</v>
      </c>
      <c r="M477" t="s">
        <v>20</v>
      </c>
      <c r="N477" t="s">
        <v>21</v>
      </c>
    </row>
    <row r="478" spans="1:14" x14ac:dyDescent="0.3">
      <c r="A478" t="s">
        <v>14</v>
      </c>
      <c r="B478" t="s">
        <v>15</v>
      </c>
      <c r="C478" t="s">
        <v>861</v>
      </c>
      <c r="D478" t="s">
        <v>33</v>
      </c>
      <c r="E478" s="1">
        <v>46175</v>
      </c>
      <c r="F478" s="2">
        <v>0.71875</v>
      </c>
      <c r="G478">
        <v>29</v>
      </c>
      <c r="H478">
        <v>43</v>
      </c>
      <c r="I478">
        <v>3440</v>
      </c>
      <c r="J478">
        <v>33.31</v>
      </c>
      <c r="K478" t="s">
        <v>667</v>
      </c>
      <c r="L478" t="s">
        <v>37</v>
      </c>
      <c r="M478" t="s">
        <v>28</v>
      </c>
      <c r="N478" t="s">
        <v>21</v>
      </c>
    </row>
    <row r="479" spans="1:14" x14ac:dyDescent="0.3">
      <c r="A479" t="s">
        <v>71</v>
      </c>
      <c r="B479" t="s">
        <v>72</v>
      </c>
      <c r="C479" t="s">
        <v>862</v>
      </c>
      <c r="D479" t="s">
        <v>47</v>
      </c>
      <c r="E479" s="1">
        <v>46176</v>
      </c>
      <c r="F479" s="2">
        <v>0.57291666666666663</v>
      </c>
      <c r="G479">
        <v>0</v>
      </c>
      <c r="H479">
        <v>55</v>
      </c>
      <c r="I479">
        <v>4400</v>
      </c>
      <c r="J479">
        <v>17.77</v>
      </c>
      <c r="K479" t="s">
        <v>863</v>
      </c>
      <c r="L479" t="s">
        <v>27</v>
      </c>
      <c r="M479" t="s">
        <v>28</v>
      </c>
      <c r="N479" t="s">
        <v>45</v>
      </c>
    </row>
    <row r="480" spans="1:14" x14ac:dyDescent="0.3">
      <c r="A480" t="s">
        <v>22</v>
      </c>
      <c r="B480" t="s">
        <v>23</v>
      </c>
      <c r="C480" t="s">
        <v>864</v>
      </c>
      <c r="D480" t="s">
        <v>33</v>
      </c>
      <c r="E480" s="1">
        <v>46178</v>
      </c>
      <c r="F480" s="2">
        <v>0.61458333333333337</v>
      </c>
      <c r="G480">
        <v>0</v>
      </c>
      <c r="H480">
        <v>13</v>
      </c>
      <c r="I480">
        <v>1300</v>
      </c>
      <c r="J480">
        <v>17.73</v>
      </c>
      <c r="K480" t="s">
        <v>865</v>
      </c>
      <c r="L480" t="s">
        <v>27</v>
      </c>
      <c r="M480" t="s">
        <v>28</v>
      </c>
      <c r="N480" t="s">
        <v>29</v>
      </c>
    </row>
    <row r="481" spans="1:14" x14ac:dyDescent="0.3">
      <c r="A481" t="s">
        <v>22</v>
      </c>
      <c r="B481" t="s">
        <v>23</v>
      </c>
      <c r="C481" t="s">
        <v>866</v>
      </c>
      <c r="D481" t="s">
        <v>47</v>
      </c>
      <c r="E481" s="1">
        <v>46178</v>
      </c>
      <c r="F481" s="2">
        <v>0.41666666666666669</v>
      </c>
      <c r="G481">
        <v>0</v>
      </c>
      <c r="H481">
        <v>39</v>
      </c>
      <c r="I481">
        <v>3120</v>
      </c>
      <c r="J481">
        <v>43.57</v>
      </c>
      <c r="K481" t="s">
        <v>352</v>
      </c>
      <c r="L481" t="s">
        <v>19</v>
      </c>
      <c r="M481" t="s">
        <v>28</v>
      </c>
      <c r="N481" t="s">
        <v>29</v>
      </c>
    </row>
    <row r="482" spans="1:14" x14ac:dyDescent="0.3">
      <c r="A482" t="s">
        <v>71</v>
      </c>
      <c r="B482" t="s">
        <v>72</v>
      </c>
      <c r="C482" t="s">
        <v>867</v>
      </c>
      <c r="D482" t="s">
        <v>47</v>
      </c>
      <c r="E482" s="1">
        <v>46174</v>
      </c>
      <c r="F482" s="2">
        <v>0.5625</v>
      </c>
      <c r="G482">
        <v>44</v>
      </c>
      <c r="H482">
        <v>84</v>
      </c>
      <c r="I482">
        <v>6720</v>
      </c>
      <c r="J482">
        <v>24.27</v>
      </c>
      <c r="K482" t="s">
        <v>868</v>
      </c>
      <c r="L482" t="s">
        <v>27</v>
      </c>
      <c r="M482" t="s">
        <v>28</v>
      </c>
      <c r="N482" t="s">
        <v>21</v>
      </c>
    </row>
    <row r="483" spans="1:14" x14ac:dyDescent="0.3">
      <c r="A483" t="s">
        <v>14</v>
      </c>
      <c r="B483" t="s">
        <v>15</v>
      </c>
      <c r="C483" t="s">
        <v>869</v>
      </c>
      <c r="D483" t="s">
        <v>47</v>
      </c>
      <c r="E483" s="1">
        <v>46181</v>
      </c>
      <c r="F483" s="2">
        <v>0.60416666666666663</v>
      </c>
      <c r="G483">
        <v>0</v>
      </c>
      <c r="H483">
        <v>81</v>
      </c>
      <c r="I483">
        <v>8100</v>
      </c>
      <c r="J483">
        <v>18.22</v>
      </c>
      <c r="K483" t="s">
        <v>870</v>
      </c>
      <c r="L483" t="s">
        <v>27</v>
      </c>
      <c r="M483" t="s">
        <v>28</v>
      </c>
      <c r="N483" t="s">
        <v>29</v>
      </c>
    </row>
    <row r="484" spans="1:14" x14ac:dyDescent="0.3">
      <c r="A484" t="s">
        <v>40</v>
      </c>
      <c r="B484" t="s">
        <v>41</v>
      </c>
      <c r="C484" t="s">
        <v>871</v>
      </c>
      <c r="D484" t="s">
        <v>25</v>
      </c>
      <c r="E484" s="1">
        <v>46185</v>
      </c>
      <c r="F484" s="2">
        <v>0.86458333333333337</v>
      </c>
      <c r="G484">
        <v>25</v>
      </c>
      <c r="H484">
        <v>12</v>
      </c>
      <c r="I484">
        <v>1200</v>
      </c>
      <c r="J484">
        <v>33.17</v>
      </c>
      <c r="K484" t="s">
        <v>872</v>
      </c>
      <c r="L484" t="s">
        <v>37</v>
      </c>
      <c r="M484" t="s">
        <v>28</v>
      </c>
      <c r="N484" t="s">
        <v>21</v>
      </c>
    </row>
    <row r="485" spans="1:14" x14ac:dyDescent="0.3">
      <c r="A485" t="s">
        <v>22</v>
      </c>
      <c r="B485" t="s">
        <v>23</v>
      </c>
      <c r="C485" t="s">
        <v>873</v>
      </c>
      <c r="D485" t="s">
        <v>17</v>
      </c>
      <c r="E485" s="1">
        <v>46197</v>
      </c>
      <c r="F485" s="2">
        <v>0.82291666666666663</v>
      </c>
      <c r="G485">
        <v>0</v>
      </c>
      <c r="H485">
        <v>23</v>
      </c>
      <c r="I485">
        <v>2300</v>
      </c>
      <c r="J485">
        <v>33.9</v>
      </c>
      <c r="K485" t="s">
        <v>874</v>
      </c>
      <c r="L485" t="s">
        <v>44</v>
      </c>
      <c r="M485" t="s">
        <v>28</v>
      </c>
      <c r="N485" t="s">
        <v>29</v>
      </c>
    </row>
    <row r="486" spans="1:14" x14ac:dyDescent="0.3">
      <c r="A486" t="s">
        <v>71</v>
      </c>
      <c r="B486" t="s">
        <v>72</v>
      </c>
      <c r="C486" t="s">
        <v>875</v>
      </c>
      <c r="D486" t="s">
        <v>33</v>
      </c>
      <c r="E486" s="1">
        <v>46177</v>
      </c>
      <c r="F486" s="2">
        <v>0.65625</v>
      </c>
      <c r="G486">
        <v>0</v>
      </c>
      <c r="H486">
        <v>69</v>
      </c>
      <c r="I486">
        <v>5520</v>
      </c>
      <c r="J486">
        <v>34.630000000000003</v>
      </c>
      <c r="K486" t="s">
        <v>876</v>
      </c>
      <c r="L486" t="s">
        <v>37</v>
      </c>
      <c r="M486" t="s">
        <v>28</v>
      </c>
      <c r="N486" t="s">
        <v>45</v>
      </c>
    </row>
    <row r="487" spans="1:14" x14ac:dyDescent="0.3">
      <c r="A487" t="s">
        <v>30</v>
      </c>
      <c r="B487" t="s">
        <v>31</v>
      </c>
      <c r="C487" t="s">
        <v>877</v>
      </c>
      <c r="D487" t="s">
        <v>17</v>
      </c>
      <c r="E487" s="1">
        <v>46186</v>
      </c>
      <c r="F487" s="2">
        <v>0.48958333333333331</v>
      </c>
      <c r="G487">
        <v>52</v>
      </c>
      <c r="H487">
        <v>54</v>
      </c>
      <c r="I487">
        <v>4320</v>
      </c>
      <c r="J487">
        <v>23.39</v>
      </c>
      <c r="K487" t="s">
        <v>269</v>
      </c>
      <c r="L487" t="s">
        <v>44</v>
      </c>
      <c r="M487" t="s">
        <v>20</v>
      </c>
      <c r="N487" t="s">
        <v>21</v>
      </c>
    </row>
    <row r="488" spans="1:14" x14ac:dyDescent="0.3">
      <c r="A488" t="s">
        <v>71</v>
      </c>
      <c r="B488" t="s">
        <v>72</v>
      </c>
      <c r="C488" t="s">
        <v>878</v>
      </c>
      <c r="D488" t="s">
        <v>33</v>
      </c>
      <c r="E488" s="1">
        <v>46196</v>
      </c>
      <c r="F488" s="2">
        <v>0.3125</v>
      </c>
      <c r="G488">
        <v>26</v>
      </c>
      <c r="H488">
        <v>43</v>
      </c>
      <c r="I488">
        <v>5160</v>
      </c>
      <c r="J488">
        <v>15.95</v>
      </c>
      <c r="K488" t="s">
        <v>879</v>
      </c>
      <c r="L488" t="s">
        <v>19</v>
      </c>
      <c r="M488" t="s">
        <v>28</v>
      </c>
      <c r="N488" t="s">
        <v>21</v>
      </c>
    </row>
    <row r="489" spans="1:14" x14ac:dyDescent="0.3">
      <c r="A489" t="s">
        <v>30</v>
      </c>
      <c r="B489" t="s">
        <v>31</v>
      </c>
      <c r="C489" t="s">
        <v>880</v>
      </c>
      <c r="D489" t="s">
        <v>47</v>
      </c>
      <c r="E489" s="1">
        <v>46188</v>
      </c>
      <c r="F489" s="2">
        <v>0.89583333333333337</v>
      </c>
      <c r="G489">
        <v>0</v>
      </c>
      <c r="H489">
        <v>54</v>
      </c>
      <c r="I489">
        <v>6480</v>
      </c>
      <c r="J489">
        <v>43.97</v>
      </c>
      <c r="K489" t="s">
        <v>92</v>
      </c>
      <c r="L489" t="s">
        <v>27</v>
      </c>
      <c r="M489" t="s">
        <v>28</v>
      </c>
      <c r="N489" t="s">
        <v>45</v>
      </c>
    </row>
    <row r="490" spans="1:14" x14ac:dyDescent="0.3">
      <c r="A490" t="s">
        <v>14</v>
      </c>
      <c r="B490" t="s">
        <v>15</v>
      </c>
      <c r="C490" t="s">
        <v>881</v>
      </c>
      <c r="D490" t="s">
        <v>25</v>
      </c>
      <c r="E490" s="1">
        <v>46184</v>
      </c>
      <c r="F490" s="2">
        <v>0.77083333333333337</v>
      </c>
      <c r="G490">
        <v>0</v>
      </c>
      <c r="H490">
        <v>70</v>
      </c>
      <c r="I490">
        <v>7000</v>
      </c>
      <c r="J490">
        <v>22.9</v>
      </c>
      <c r="K490" t="s">
        <v>842</v>
      </c>
      <c r="L490" t="s">
        <v>19</v>
      </c>
      <c r="M490" t="s">
        <v>28</v>
      </c>
      <c r="N490" t="s">
        <v>29</v>
      </c>
    </row>
    <row r="491" spans="1:14" x14ac:dyDescent="0.3">
      <c r="A491" t="s">
        <v>40</v>
      </c>
      <c r="B491" t="s">
        <v>41</v>
      </c>
      <c r="C491" t="s">
        <v>32</v>
      </c>
      <c r="D491" t="s">
        <v>17</v>
      </c>
      <c r="E491" s="1">
        <v>46183</v>
      </c>
      <c r="F491" s="2">
        <v>0.69791666666666663</v>
      </c>
      <c r="G491">
        <v>0</v>
      </c>
      <c r="H491">
        <v>25</v>
      </c>
      <c r="I491">
        <v>3000</v>
      </c>
      <c r="J491">
        <v>35.44</v>
      </c>
      <c r="K491" t="s">
        <v>882</v>
      </c>
      <c r="L491" t="s">
        <v>44</v>
      </c>
      <c r="M491" t="s">
        <v>28</v>
      </c>
      <c r="N491" t="s">
        <v>29</v>
      </c>
    </row>
    <row r="492" spans="1:14" x14ac:dyDescent="0.3">
      <c r="A492" t="s">
        <v>71</v>
      </c>
      <c r="B492" t="s">
        <v>72</v>
      </c>
      <c r="C492" t="s">
        <v>883</v>
      </c>
      <c r="D492" t="s">
        <v>25</v>
      </c>
      <c r="E492" s="1">
        <v>46176</v>
      </c>
      <c r="F492" s="2">
        <v>0.45833333333333331</v>
      </c>
      <c r="G492">
        <v>13</v>
      </c>
      <c r="H492">
        <v>75</v>
      </c>
      <c r="I492">
        <v>6000</v>
      </c>
      <c r="J492">
        <v>36.35</v>
      </c>
      <c r="K492" t="s">
        <v>884</v>
      </c>
      <c r="L492" t="s">
        <v>37</v>
      </c>
      <c r="M492" t="s">
        <v>28</v>
      </c>
      <c r="N492" t="s">
        <v>21</v>
      </c>
    </row>
    <row r="493" spans="1:14" x14ac:dyDescent="0.3">
      <c r="A493" t="s">
        <v>22</v>
      </c>
      <c r="B493" t="s">
        <v>23</v>
      </c>
      <c r="C493" t="s">
        <v>885</v>
      </c>
      <c r="D493" t="s">
        <v>33</v>
      </c>
      <c r="E493" s="1">
        <v>46195</v>
      </c>
      <c r="F493" s="2">
        <v>0.27083333333333331</v>
      </c>
      <c r="G493">
        <v>0</v>
      </c>
      <c r="H493">
        <v>49</v>
      </c>
      <c r="I493">
        <v>5880</v>
      </c>
      <c r="J493">
        <v>33.5</v>
      </c>
      <c r="K493" t="s">
        <v>886</v>
      </c>
      <c r="L493" t="s">
        <v>37</v>
      </c>
      <c r="M493" t="s">
        <v>28</v>
      </c>
      <c r="N493" t="s">
        <v>45</v>
      </c>
    </row>
    <row r="494" spans="1:14" x14ac:dyDescent="0.3">
      <c r="A494" t="s">
        <v>14</v>
      </c>
      <c r="B494" t="s">
        <v>15</v>
      </c>
      <c r="C494" t="s">
        <v>887</v>
      </c>
      <c r="D494" t="s">
        <v>25</v>
      </c>
      <c r="E494" s="1">
        <v>46187</v>
      </c>
      <c r="F494" s="2">
        <v>0.54166666666666663</v>
      </c>
      <c r="G494">
        <v>0</v>
      </c>
      <c r="H494">
        <v>26</v>
      </c>
      <c r="I494">
        <v>2080</v>
      </c>
      <c r="J494">
        <v>24.73</v>
      </c>
      <c r="K494" t="s">
        <v>747</v>
      </c>
      <c r="L494" t="s">
        <v>19</v>
      </c>
      <c r="M494" t="s">
        <v>20</v>
      </c>
      <c r="N494" t="s">
        <v>29</v>
      </c>
    </row>
    <row r="495" spans="1:14" x14ac:dyDescent="0.3">
      <c r="A495" t="s">
        <v>71</v>
      </c>
      <c r="B495" t="s">
        <v>72</v>
      </c>
      <c r="C495" t="s">
        <v>888</v>
      </c>
      <c r="D495" t="s">
        <v>25</v>
      </c>
      <c r="E495" s="1">
        <v>46189</v>
      </c>
      <c r="F495" s="2">
        <v>0.89583333333333337</v>
      </c>
      <c r="G495">
        <v>0</v>
      </c>
      <c r="H495">
        <v>43</v>
      </c>
      <c r="I495">
        <v>4300</v>
      </c>
      <c r="J495">
        <v>23.5</v>
      </c>
      <c r="K495" t="s">
        <v>886</v>
      </c>
      <c r="L495" t="s">
        <v>44</v>
      </c>
      <c r="M495" t="s">
        <v>28</v>
      </c>
      <c r="N495" t="s">
        <v>45</v>
      </c>
    </row>
    <row r="496" spans="1:14" x14ac:dyDescent="0.3">
      <c r="A496" t="s">
        <v>22</v>
      </c>
      <c r="B496" t="s">
        <v>23</v>
      </c>
      <c r="C496" t="s">
        <v>889</v>
      </c>
      <c r="D496" t="s">
        <v>17</v>
      </c>
      <c r="E496" s="1">
        <v>46183</v>
      </c>
      <c r="F496" s="2">
        <v>0.44791666666666669</v>
      </c>
      <c r="G496">
        <v>0</v>
      </c>
      <c r="H496">
        <v>25</v>
      </c>
      <c r="I496">
        <v>2500</v>
      </c>
      <c r="J496">
        <v>33.130000000000003</v>
      </c>
      <c r="K496" t="s">
        <v>890</v>
      </c>
      <c r="L496" t="s">
        <v>19</v>
      </c>
      <c r="M496" t="s">
        <v>28</v>
      </c>
      <c r="N496" t="s">
        <v>29</v>
      </c>
    </row>
    <row r="497" spans="1:14" x14ac:dyDescent="0.3">
      <c r="A497" t="s">
        <v>71</v>
      </c>
      <c r="B497" t="s">
        <v>72</v>
      </c>
      <c r="C497" t="s">
        <v>891</v>
      </c>
      <c r="D497" t="s">
        <v>47</v>
      </c>
      <c r="E497" s="1">
        <v>46202</v>
      </c>
      <c r="F497" s="2">
        <v>0.46875</v>
      </c>
      <c r="G497">
        <v>15</v>
      </c>
      <c r="H497">
        <v>69</v>
      </c>
      <c r="I497">
        <v>5520</v>
      </c>
      <c r="J497">
        <v>41.05</v>
      </c>
      <c r="K497" t="s">
        <v>120</v>
      </c>
      <c r="L497" t="s">
        <v>19</v>
      </c>
      <c r="M497" t="s">
        <v>28</v>
      </c>
      <c r="N497" t="s">
        <v>21</v>
      </c>
    </row>
    <row r="498" spans="1:14" x14ac:dyDescent="0.3">
      <c r="A498" t="s">
        <v>30</v>
      </c>
      <c r="B498" t="s">
        <v>31</v>
      </c>
      <c r="C498" t="s">
        <v>892</v>
      </c>
      <c r="D498" t="s">
        <v>25</v>
      </c>
      <c r="E498" s="1">
        <v>46183</v>
      </c>
      <c r="F498" s="2">
        <v>0.61458333333333337</v>
      </c>
      <c r="G498">
        <v>26</v>
      </c>
      <c r="H498">
        <v>75</v>
      </c>
      <c r="I498">
        <v>9000</v>
      </c>
      <c r="J498">
        <v>43.43</v>
      </c>
      <c r="K498" t="s">
        <v>473</v>
      </c>
      <c r="L498" t="s">
        <v>27</v>
      </c>
      <c r="M498" t="s">
        <v>28</v>
      </c>
      <c r="N498" t="s">
        <v>21</v>
      </c>
    </row>
    <row r="499" spans="1:14" x14ac:dyDescent="0.3">
      <c r="A499" t="s">
        <v>71</v>
      </c>
      <c r="B499" t="s">
        <v>72</v>
      </c>
      <c r="C499" t="s">
        <v>893</v>
      </c>
      <c r="D499" t="s">
        <v>47</v>
      </c>
      <c r="E499" s="1">
        <v>46185</v>
      </c>
      <c r="F499" s="2">
        <v>0.67708333333333337</v>
      </c>
      <c r="G499">
        <v>48</v>
      </c>
      <c r="H499">
        <v>75</v>
      </c>
      <c r="I499">
        <v>7500</v>
      </c>
      <c r="J499">
        <v>18.62</v>
      </c>
      <c r="K499" t="s">
        <v>894</v>
      </c>
      <c r="L499" t="s">
        <v>19</v>
      </c>
      <c r="M499" t="s">
        <v>28</v>
      </c>
      <c r="N499" t="s">
        <v>21</v>
      </c>
    </row>
    <row r="500" spans="1:14" x14ac:dyDescent="0.3">
      <c r="A500" t="s">
        <v>71</v>
      </c>
      <c r="B500" t="s">
        <v>72</v>
      </c>
      <c r="C500" t="s">
        <v>895</v>
      </c>
      <c r="D500" t="s">
        <v>33</v>
      </c>
      <c r="E500" s="1">
        <v>46203</v>
      </c>
      <c r="F500" s="2">
        <v>0.875</v>
      </c>
      <c r="G500">
        <v>0</v>
      </c>
      <c r="H500">
        <v>22</v>
      </c>
      <c r="I500">
        <v>2200</v>
      </c>
      <c r="J500">
        <v>20.07</v>
      </c>
      <c r="K500" t="s">
        <v>896</v>
      </c>
      <c r="L500" t="s">
        <v>27</v>
      </c>
      <c r="M500" t="s">
        <v>28</v>
      </c>
      <c r="N500" t="s">
        <v>45</v>
      </c>
    </row>
    <row r="501" spans="1:14" x14ac:dyDescent="0.3">
      <c r="A501" t="s">
        <v>71</v>
      </c>
      <c r="B501" t="s">
        <v>72</v>
      </c>
      <c r="C501" t="s">
        <v>897</v>
      </c>
      <c r="D501" t="s">
        <v>25</v>
      </c>
      <c r="E501" s="1">
        <v>46182</v>
      </c>
      <c r="F501" s="2">
        <v>0.77083333333333337</v>
      </c>
      <c r="G501">
        <v>0</v>
      </c>
      <c r="H501">
        <v>65</v>
      </c>
      <c r="I501">
        <v>7800</v>
      </c>
      <c r="J501">
        <v>43.37</v>
      </c>
      <c r="K501" t="s">
        <v>411</v>
      </c>
      <c r="L501" t="s">
        <v>27</v>
      </c>
      <c r="M501" t="s">
        <v>28</v>
      </c>
      <c r="N501" t="s">
        <v>45</v>
      </c>
    </row>
    <row r="502" spans="1:14" x14ac:dyDescent="0.3">
      <c r="A502" t="s">
        <v>14</v>
      </c>
      <c r="B502" t="s">
        <v>15</v>
      </c>
      <c r="C502" t="s">
        <v>898</v>
      </c>
      <c r="D502" t="s">
        <v>17</v>
      </c>
      <c r="E502" s="1">
        <v>46174</v>
      </c>
      <c r="F502" s="2">
        <v>0.76041666666666663</v>
      </c>
      <c r="G502">
        <v>14</v>
      </c>
      <c r="H502">
        <v>40</v>
      </c>
      <c r="I502">
        <v>4800</v>
      </c>
      <c r="J502">
        <v>37.229999999999997</v>
      </c>
      <c r="K502" t="s">
        <v>98</v>
      </c>
      <c r="L502" t="s">
        <v>37</v>
      </c>
      <c r="M502" t="s">
        <v>28</v>
      </c>
      <c r="N502" t="s">
        <v>21</v>
      </c>
    </row>
    <row r="503" spans="1:14" x14ac:dyDescent="0.3">
      <c r="A503" t="s">
        <v>71</v>
      </c>
      <c r="B503" t="s">
        <v>72</v>
      </c>
      <c r="C503" t="s">
        <v>899</v>
      </c>
      <c r="D503" t="s">
        <v>33</v>
      </c>
      <c r="E503" s="1">
        <v>46178</v>
      </c>
      <c r="F503" s="2">
        <v>0.40625</v>
      </c>
      <c r="G503">
        <v>29</v>
      </c>
      <c r="H503">
        <v>43</v>
      </c>
      <c r="I503">
        <v>3440</v>
      </c>
      <c r="J503">
        <v>41.55</v>
      </c>
      <c r="K503" t="s">
        <v>647</v>
      </c>
      <c r="L503" t="s">
        <v>27</v>
      </c>
      <c r="M503" t="s">
        <v>28</v>
      </c>
      <c r="N503" t="s">
        <v>21</v>
      </c>
    </row>
    <row r="504" spans="1:14" x14ac:dyDescent="0.3">
      <c r="A504" t="s">
        <v>22</v>
      </c>
      <c r="B504" t="s">
        <v>23</v>
      </c>
      <c r="C504" t="s">
        <v>900</v>
      </c>
      <c r="D504" t="s">
        <v>33</v>
      </c>
      <c r="E504" s="1">
        <v>46193</v>
      </c>
      <c r="F504" s="2">
        <v>0.46875</v>
      </c>
      <c r="G504">
        <v>25</v>
      </c>
      <c r="H504">
        <v>48</v>
      </c>
      <c r="I504">
        <v>5760</v>
      </c>
      <c r="J504">
        <v>21.48</v>
      </c>
      <c r="K504" t="s">
        <v>901</v>
      </c>
      <c r="L504" t="s">
        <v>27</v>
      </c>
      <c r="M504" t="s">
        <v>20</v>
      </c>
      <c r="N504" t="s">
        <v>21</v>
      </c>
    </row>
    <row r="505" spans="1:14" x14ac:dyDescent="0.3">
      <c r="A505" t="s">
        <v>30</v>
      </c>
      <c r="B505" t="s">
        <v>31</v>
      </c>
      <c r="C505" t="s">
        <v>902</v>
      </c>
      <c r="D505" t="s">
        <v>17</v>
      </c>
      <c r="E505" s="1">
        <v>46181</v>
      </c>
      <c r="F505" s="2">
        <v>0.41666666666666669</v>
      </c>
      <c r="G505">
        <v>60</v>
      </c>
      <c r="H505">
        <v>76</v>
      </c>
      <c r="I505">
        <v>9120</v>
      </c>
      <c r="J505">
        <v>32.83</v>
      </c>
      <c r="K505" t="s">
        <v>903</v>
      </c>
      <c r="L505" t="s">
        <v>37</v>
      </c>
      <c r="M505" t="s">
        <v>28</v>
      </c>
      <c r="N505" t="s">
        <v>21</v>
      </c>
    </row>
    <row r="506" spans="1:14" x14ac:dyDescent="0.3">
      <c r="A506" t="s">
        <v>30</v>
      </c>
      <c r="B506" t="s">
        <v>31</v>
      </c>
      <c r="C506" t="s">
        <v>904</v>
      </c>
      <c r="D506" t="s">
        <v>25</v>
      </c>
      <c r="E506" s="1">
        <v>46184</v>
      </c>
      <c r="F506" s="2">
        <v>0.33333333333333331</v>
      </c>
      <c r="G506">
        <v>50</v>
      </c>
      <c r="H506">
        <v>17</v>
      </c>
      <c r="I506">
        <v>2040</v>
      </c>
      <c r="J506">
        <v>36.18</v>
      </c>
      <c r="K506" t="s">
        <v>905</v>
      </c>
      <c r="L506" t="s">
        <v>19</v>
      </c>
      <c r="M506" t="s">
        <v>28</v>
      </c>
      <c r="N506" t="s">
        <v>21</v>
      </c>
    </row>
    <row r="507" spans="1:14" x14ac:dyDescent="0.3">
      <c r="A507" t="s">
        <v>71</v>
      </c>
      <c r="B507" t="s">
        <v>72</v>
      </c>
      <c r="C507" t="s">
        <v>906</v>
      </c>
      <c r="D507" t="s">
        <v>25</v>
      </c>
      <c r="E507" s="1">
        <v>46185</v>
      </c>
      <c r="F507" s="2">
        <v>0.375</v>
      </c>
      <c r="G507">
        <v>46</v>
      </c>
      <c r="H507">
        <v>64</v>
      </c>
      <c r="I507">
        <v>5120</v>
      </c>
      <c r="J507">
        <v>35.56</v>
      </c>
      <c r="K507" t="s">
        <v>907</v>
      </c>
      <c r="L507" t="s">
        <v>44</v>
      </c>
      <c r="M507" t="s">
        <v>28</v>
      </c>
      <c r="N507" t="s">
        <v>21</v>
      </c>
    </row>
    <row r="508" spans="1:14" x14ac:dyDescent="0.3">
      <c r="A508" t="s">
        <v>14</v>
      </c>
      <c r="B508" t="s">
        <v>15</v>
      </c>
      <c r="C508" t="s">
        <v>908</v>
      </c>
      <c r="D508" t="s">
        <v>33</v>
      </c>
      <c r="E508" s="1">
        <v>46174</v>
      </c>
      <c r="F508" s="2">
        <v>0.30208333333333331</v>
      </c>
      <c r="G508">
        <v>0</v>
      </c>
      <c r="H508">
        <v>36</v>
      </c>
      <c r="I508">
        <v>2880</v>
      </c>
      <c r="J508">
        <v>27.54</v>
      </c>
      <c r="K508" t="s">
        <v>909</v>
      </c>
      <c r="L508" t="s">
        <v>44</v>
      </c>
      <c r="M508" t="s">
        <v>28</v>
      </c>
      <c r="N508" t="s">
        <v>29</v>
      </c>
    </row>
    <row r="509" spans="1:14" x14ac:dyDescent="0.3">
      <c r="A509" t="s">
        <v>14</v>
      </c>
      <c r="B509" t="s">
        <v>15</v>
      </c>
      <c r="C509" t="s">
        <v>910</v>
      </c>
      <c r="D509" t="s">
        <v>25</v>
      </c>
      <c r="E509" s="1">
        <v>46198</v>
      </c>
      <c r="F509" s="2">
        <v>0.4375</v>
      </c>
      <c r="G509">
        <v>18</v>
      </c>
      <c r="H509">
        <v>62</v>
      </c>
      <c r="I509">
        <v>6200</v>
      </c>
      <c r="J509">
        <v>15.95</v>
      </c>
      <c r="K509" t="s">
        <v>911</v>
      </c>
      <c r="L509" t="s">
        <v>44</v>
      </c>
      <c r="M509" t="s">
        <v>28</v>
      </c>
      <c r="N509" t="s">
        <v>21</v>
      </c>
    </row>
    <row r="510" spans="1:14" x14ac:dyDescent="0.3">
      <c r="A510" t="s">
        <v>22</v>
      </c>
      <c r="B510" t="s">
        <v>23</v>
      </c>
      <c r="C510" t="s">
        <v>912</v>
      </c>
      <c r="D510" t="s">
        <v>47</v>
      </c>
      <c r="E510" s="1">
        <v>46195</v>
      </c>
      <c r="F510" s="2">
        <v>0.61458333333333337</v>
      </c>
      <c r="G510">
        <v>0</v>
      </c>
      <c r="H510">
        <v>48</v>
      </c>
      <c r="I510">
        <v>3840</v>
      </c>
      <c r="J510">
        <v>32.700000000000003</v>
      </c>
      <c r="K510" t="s">
        <v>913</v>
      </c>
      <c r="L510" t="s">
        <v>19</v>
      </c>
      <c r="M510" t="s">
        <v>28</v>
      </c>
      <c r="N510" t="s">
        <v>45</v>
      </c>
    </row>
    <row r="511" spans="1:14" x14ac:dyDescent="0.3">
      <c r="A511" t="s">
        <v>71</v>
      </c>
      <c r="B511" t="s">
        <v>72</v>
      </c>
      <c r="C511" t="s">
        <v>914</v>
      </c>
      <c r="D511" t="s">
        <v>17</v>
      </c>
      <c r="E511" s="1">
        <v>46193</v>
      </c>
      <c r="F511" s="2">
        <v>0.46875</v>
      </c>
      <c r="G511">
        <v>51</v>
      </c>
      <c r="H511">
        <v>74</v>
      </c>
      <c r="I511">
        <v>7400</v>
      </c>
      <c r="J511">
        <v>22.97</v>
      </c>
      <c r="K511" t="s">
        <v>915</v>
      </c>
      <c r="L511" t="s">
        <v>27</v>
      </c>
      <c r="M511" t="s">
        <v>20</v>
      </c>
      <c r="N511" t="s">
        <v>21</v>
      </c>
    </row>
    <row r="512" spans="1:14" x14ac:dyDescent="0.3">
      <c r="A512" t="s">
        <v>30</v>
      </c>
      <c r="B512" t="s">
        <v>31</v>
      </c>
      <c r="C512" t="s">
        <v>916</v>
      </c>
      <c r="D512" t="s">
        <v>47</v>
      </c>
      <c r="E512" s="1">
        <v>46201</v>
      </c>
      <c r="F512" s="2">
        <v>0.47916666666666669</v>
      </c>
      <c r="G512">
        <v>11</v>
      </c>
      <c r="H512">
        <v>26</v>
      </c>
      <c r="I512">
        <v>3120</v>
      </c>
      <c r="J512">
        <v>28.78</v>
      </c>
      <c r="K512" t="s">
        <v>917</v>
      </c>
      <c r="L512" t="s">
        <v>44</v>
      </c>
      <c r="M512" t="s">
        <v>20</v>
      </c>
      <c r="N512" t="s">
        <v>21</v>
      </c>
    </row>
    <row r="513" spans="1:14" x14ac:dyDescent="0.3">
      <c r="A513" t="s">
        <v>14</v>
      </c>
      <c r="B513" t="s">
        <v>15</v>
      </c>
      <c r="C513" t="s">
        <v>918</v>
      </c>
      <c r="D513" t="s">
        <v>25</v>
      </c>
      <c r="E513" s="1">
        <v>46198</v>
      </c>
      <c r="F513" s="2">
        <v>0.70833333333333337</v>
      </c>
      <c r="G513">
        <v>18</v>
      </c>
      <c r="H513">
        <v>39</v>
      </c>
      <c r="I513">
        <v>3900</v>
      </c>
      <c r="J513">
        <v>43.75</v>
      </c>
      <c r="K513" t="s">
        <v>340</v>
      </c>
      <c r="L513" t="s">
        <v>19</v>
      </c>
      <c r="M513" t="s">
        <v>28</v>
      </c>
      <c r="N513" t="s">
        <v>21</v>
      </c>
    </row>
    <row r="514" spans="1:14" x14ac:dyDescent="0.3">
      <c r="A514" t="s">
        <v>71</v>
      </c>
      <c r="B514" t="s">
        <v>72</v>
      </c>
      <c r="C514" t="s">
        <v>919</v>
      </c>
      <c r="D514" t="s">
        <v>33</v>
      </c>
      <c r="E514" s="1">
        <v>46184</v>
      </c>
      <c r="F514" s="2">
        <v>0.67708333333333337</v>
      </c>
      <c r="G514">
        <v>0</v>
      </c>
      <c r="H514">
        <v>62</v>
      </c>
      <c r="I514">
        <v>6200</v>
      </c>
      <c r="J514">
        <v>27.27</v>
      </c>
      <c r="K514" t="s">
        <v>920</v>
      </c>
      <c r="L514" t="s">
        <v>27</v>
      </c>
      <c r="M514" t="s">
        <v>28</v>
      </c>
      <c r="N514" t="s">
        <v>29</v>
      </c>
    </row>
    <row r="515" spans="1:14" x14ac:dyDescent="0.3">
      <c r="A515" t="s">
        <v>14</v>
      </c>
      <c r="B515" t="s">
        <v>15</v>
      </c>
      <c r="C515" t="s">
        <v>921</v>
      </c>
      <c r="D515" t="s">
        <v>17</v>
      </c>
      <c r="E515" s="1">
        <v>46178</v>
      </c>
      <c r="F515" s="2">
        <v>0.86458333333333337</v>
      </c>
      <c r="G515">
        <v>45</v>
      </c>
      <c r="H515">
        <v>22</v>
      </c>
      <c r="I515">
        <v>2640</v>
      </c>
      <c r="J515">
        <v>40.270000000000003</v>
      </c>
      <c r="K515" t="s">
        <v>922</v>
      </c>
      <c r="L515" t="s">
        <v>37</v>
      </c>
      <c r="M515" t="s">
        <v>28</v>
      </c>
      <c r="N515" t="s">
        <v>21</v>
      </c>
    </row>
    <row r="516" spans="1:14" x14ac:dyDescent="0.3">
      <c r="A516" t="s">
        <v>14</v>
      </c>
      <c r="B516" t="s">
        <v>15</v>
      </c>
      <c r="C516" t="s">
        <v>923</v>
      </c>
      <c r="D516" t="s">
        <v>25</v>
      </c>
      <c r="E516" s="1">
        <v>46188</v>
      </c>
      <c r="F516" s="2">
        <v>0.70833333333333337</v>
      </c>
      <c r="G516">
        <v>0</v>
      </c>
      <c r="H516">
        <v>30</v>
      </c>
      <c r="I516">
        <v>3000</v>
      </c>
      <c r="J516">
        <v>21.06</v>
      </c>
      <c r="K516" t="s">
        <v>924</v>
      </c>
      <c r="L516" t="s">
        <v>44</v>
      </c>
      <c r="M516" t="s">
        <v>28</v>
      </c>
      <c r="N516" t="s">
        <v>29</v>
      </c>
    </row>
    <row r="517" spans="1:14" x14ac:dyDescent="0.3">
      <c r="A517" t="s">
        <v>30</v>
      </c>
      <c r="B517" t="s">
        <v>31</v>
      </c>
      <c r="C517" t="s">
        <v>925</v>
      </c>
      <c r="D517" t="s">
        <v>25</v>
      </c>
      <c r="E517" s="1">
        <v>46178</v>
      </c>
      <c r="F517" s="2">
        <v>0.30208333333333331</v>
      </c>
      <c r="G517">
        <v>31</v>
      </c>
      <c r="H517">
        <v>28</v>
      </c>
      <c r="I517">
        <v>2240</v>
      </c>
      <c r="J517">
        <v>35.340000000000003</v>
      </c>
      <c r="K517" t="s">
        <v>926</v>
      </c>
      <c r="L517" t="s">
        <v>27</v>
      </c>
      <c r="M517" t="s">
        <v>28</v>
      </c>
      <c r="N517" t="s">
        <v>21</v>
      </c>
    </row>
    <row r="518" spans="1:14" x14ac:dyDescent="0.3">
      <c r="A518" t="s">
        <v>40</v>
      </c>
      <c r="B518" t="s">
        <v>41</v>
      </c>
      <c r="C518" t="s">
        <v>927</v>
      </c>
      <c r="D518" t="s">
        <v>33</v>
      </c>
      <c r="E518" s="1">
        <v>46185</v>
      </c>
      <c r="F518" s="2">
        <v>0.36458333333333331</v>
      </c>
      <c r="G518">
        <v>0</v>
      </c>
      <c r="H518">
        <v>62</v>
      </c>
      <c r="I518">
        <v>4960</v>
      </c>
      <c r="J518">
        <v>44.32</v>
      </c>
      <c r="K518" t="s">
        <v>102</v>
      </c>
      <c r="L518" t="s">
        <v>44</v>
      </c>
      <c r="M518" t="s">
        <v>28</v>
      </c>
      <c r="N518" t="s">
        <v>45</v>
      </c>
    </row>
    <row r="519" spans="1:14" x14ac:dyDescent="0.3">
      <c r="A519" t="s">
        <v>22</v>
      </c>
      <c r="B519" t="s">
        <v>23</v>
      </c>
      <c r="C519" t="s">
        <v>928</v>
      </c>
      <c r="D519" t="s">
        <v>33</v>
      </c>
      <c r="E519" s="1">
        <v>46178</v>
      </c>
      <c r="F519" s="2">
        <v>0.875</v>
      </c>
      <c r="G519">
        <v>0</v>
      </c>
      <c r="H519">
        <v>28</v>
      </c>
      <c r="I519">
        <v>2240</v>
      </c>
      <c r="J519">
        <v>18.510000000000002</v>
      </c>
      <c r="K519" t="s">
        <v>929</v>
      </c>
      <c r="L519" t="s">
        <v>44</v>
      </c>
      <c r="M519" t="s">
        <v>28</v>
      </c>
      <c r="N519" t="s">
        <v>45</v>
      </c>
    </row>
    <row r="520" spans="1:14" x14ac:dyDescent="0.3">
      <c r="A520" t="s">
        <v>22</v>
      </c>
      <c r="B520" t="s">
        <v>23</v>
      </c>
      <c r="C520" t="s">
        <v>930</v>
      </c>
      <c r="D520" t="s">
        <v>47</v>
      </c>
      <c r="E520" s="1">
        <v>46190</v>
      </c>
      <c r="F520" s="2">
        <v>0.25</v>
      </c>
      <c r="G520">
        <v>0</v>
      </c>
      <c r="H520">
        <v>66</v>
      </c>
      <c r="I520">
        <v>5280</v>
      </c>
      <c r="J520">
        <v>15.75</v>
      </c>
      <c r="K520" t="s">
        <v>151</v>
      </c>
      <c r="L520" t="s">
        <v>44</v>
      </c>
      <c r="M520" t="s">
        <v>28</v>
      </c>
      <c r="N520" t="s">
        <v>45</v>
      </c>
    </row>
    <row r="521" spans="1:14" x14ac:dyDescent="0.3">
      <c r="A521" t="s">
        <v>30</v>
      </c>
      <c r="B521" t="s">
        <v>31</v>
      </c>
      <c r="C521" t="s">
        <v>931</v>
      </c>
      <c r="D521" t="s">
        <v>17</v>
      </c>
      <c r="E521" s="1">
        <v>46190</v>
      </c>
      <c r="F521" s="2">
        <v>0.36458333333333331</v>
      </c>
      <c r="G521">
        <v>0</v>
      </c>
      <c r="H521">
        <v>34</v>
      </c>
      <c r="I521">
        <v>3400</v>
      </c>
      <c r="J521">
        <v>28.29</v>
      </c>
      <c r="K521" t="s">
        <v>932</v>
      </c>
      <c r="L521" t="s">
        <v>27</v>
      </c>
      <c r="M521" t="s">
        <v>28</v>
      </c>
      <c r="N52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Cleaned_Smart_Public_Transport_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Ashuu Queen💞😜</dc:creator>
  <cp:lastModifiedBy>ashoo queen</cp:lastModifiedBy>
  <dcterms:created xsi:type="dcterms:W3CDTF">2026-07-09T18:08:18Z</dcterms:created>
  <dcterms:modified xsi:type="dcterms:W3CDTF">2026-07-09T18:24:19Z</dcterms:modified>
</cp:coreProperties>
</file>